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AB4DAF6C-05F8-42D3-918A-6C42FB38C044}" xr6:coauthVersionLast="47" xr6:coauthVersionMax="47" xr10:uidLastSave="{00000000-0000-0000-0000-000000000000}"/>
  <bookViews>
    <workbookView xWindow="-108" yWindow="-108" windowWidth="23256" windowHeight="12456" activeTab="2" xr2:uid="{5A0E7221-C9BC-48A3-8CEF-6E14558FA6F9}"/>
  </bookViews>
  <sheets>
    <sheet name="Calculations" sheetId="1" r:id="rId1"/>
    <sheet name="Charts" sheetId="2" r:id="rId2"/>
    <sheet name="Dashboard" sheetId="3" r:id="rId3"/>
  </sheets>
  <externalReferences>
    <externalReference r:id="rId4"/>
  </externalReferences>
  <definedNames>
    <definedName name="_xlchart.v2.0" hidden="1">Calculations!$N$18:$N$21</definedName>
    <definedName name="_xlchart.v2.1" hidden="1">Calculations!$O$17</definedName>
    <definedName name="_xlchart.v2.2" hidden="1">Calculations!$O$18:$O$21</definedName>
    <definedName name="_xlchart.v2.3" hidden="1">Calculations!$N$18:$N$21</definedName>
    <definedName name="_xlchart.v2.4" hidden="1">Calculations!$O$17</definedName>
    <definedName name="_xlchart.v2.5" hidden="1">Calculations!$O$18:$O$21</definedName>
    <definedName name="order">Calculations!$C$5</definedName>
    <definedName name="quantity">Calculations!$D$5</definedName>
    <definedName name="sales">Calculations!$B$5</definedName>
    <definedName name="salestrend">[1]CALCULATIONS!$B$16</definedName>
    <definedName name="Slicer_Category">#N/A</definedName>
    <definedName name="Slicer_City">#N/A</definedName>
    <definedName name="Slicer_Region">#N/A</definedName>
  </definedNames>
  <calcPr calcId="191029"/>
  <pivotCaches>
    <pivotCache cacheId="723" r:id="rId5"/>
    <pivotCache cacheId="726" r:id="rId6"/>
    <pivotCache cacheId="729" r:id="rId7"/>
    <pivotCache cacheId="732" r:id="rId8"/>
    <pivotCache cacheId="735" r:id="rId9"/>
    <pivotCache cacheId="738" r:id="rId10"/>
    <pivotCache cacheId="741" r:id="rId11"/>
    <pivotCache cacheId="744" r:id="rId12"/>
    <pivotCache cacheId="747" r:id="rId13"/>
    <pivotCache cacheId="750" r:id="rId14"/>
    <pivotCache cacheId="753" r:id="rId15"/>
    <pivotCache cacheId="756" r:id="rId16"/>
    <pivotCache cacheId="759" r:id="rId17"/>
  </pivotCaches>
  <extLst>
    <ext xmlns:x14="http://schemas.microsoft.com/office/spreadsheetml/2009/9/main" uri="{876F7934-8845-4945-9796-88D515C7AA90}">
      <x14:pivotCaches>
        <pivotCache cacheId="210"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Raw_Data_c7647187-7972-4c48-9949-358a20b7ca4e" name="Sales_Raw_Data" connection="Query - Sales_Raw_Data"/>
        </x15:modelTables>
        <x15:extLst>
          <ext xmlns:x16="http://schemas.microsoft.com/office/spreadsheetml/2014/11/main" uri="{9835A34E-60A6-4A7C-AAB8-D5F71C897F49}">
            <x16:modelTimeGroupings>
              <x16:modelTimeGrouping tableName="Sales_Raw_Data"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Lst>
</workbook>
</file>

<file path=xl/calcChain.xml><?xml version="1.0" encoding="utf-8"?>
<calcChain xmlns="http://schemas.openxmlformats.org/spreadsheetml/2006/main">
  <c r="D6" i="1" l="1"/>
  <c r="C6" i="1"/>
  <c r="B6" i="1"/>
  <c r="O19" i="1" l="1"/>
  <c r="O20" i="1"/>
  <c r="O21" i="1"/>
  <c r="O1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D7C230-0BC9-4023-8928-650277FB9621}" name="Query - Sales_Raw_Data" description="Connection to the 'Sales_Raw_Data' query in the workbook." type="100" refreshedVersion="8" minRefreshableVersion="5">
    <extLst>
      <ext xmlns:x15="http://schemas.microsoft.com/office/spreadsheetml/2010/11/main" uri="{DE250136-89BD-433C-8126-D09CA5730AF9}">
        <x15:connection id="9a2895ea-8293-49f5-b412-2bc75db590cb"/>
      </ext>
    </extLst>
  </connection>
  <connection id="2" xr16:uid="{11B64267-89F1-4F3F-AB4C-4B5C4B4CF0D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<sst xmlns="http://schemas.openxmlformats.org/spreadsheetml/2006/main" count="154" uniqueCount="73">
  <si>
    <t>KPI</t>
  </si>
  <si>
    <t>Total_Sales</t>
  </si>
  <si>
    <t>Count of OrderID</t>
  </si>
  <si>
    <t>Sum of Quantity</t>
  </si>
  <si>
    <t>Category</t>
  </si>
  <si>
    <t>Clothing</t>
  </si>
  <si>
    <t>Electronics</t>
  </si>
  <si>
    <t>Furniture</t>
  </si>
  <si>
    <t>Grocery</t>
  </si>
  <si>
    <t>Grand Total</t>
  </si>
  <si>
    <t>Region</t>
  </si>
  <si>
    <t>East</t>
  </si>
  <si>
    <t>North</t>
  </si>
  <si>
    <t>South</t>
  </si>
  <si>
    <t>West</t>
  </si>
  <si>
    <t>City</t>
  </si>
  <si>
    <t>Ahmedabad</t>
  </si>
  <si>
    <t>Bangalore</t>
  </si>
  <si>
    <t>Bhubaneswar</t>
  </si>
  <si>
    <t>Chennai</t>
  </si>
  <si>
    <t>Delhi</t>
  </si>
  <si>
    <t>Hyderabad</t>
  </si>
  <si>
    <t>Jaipur</t>
  </si>
  <si>
    <t>Kolkata</t>
  </si>
  <si>
    <t>Lucknow</t>
  </si>
  <si>
    <t>Mumbai</t>
  </si>
  <si>
    <t>Patna</t>
  </si>
  <si>
    <t>Pune</t>
  </si>
  <si>
    <t>Product</t>
  </si>
  <si>
    <t>Almirah</t>
  </si>
  <si>
    <t>Atta</t>
  </si>
  <si>
    <t>Chair</t>
  </si>
  <si>
    <t>Headphone</t>
  </si>
  <si>
    <t>Jacket</t>
  </si>
  <si>
    <t>Jeans</t>
  </si>
  <si>
    <t>Laptop</t>
  </si>
  <si>
    <t>Mobile</t>
  </si>
  <si>
    <t>Oil</t>
  </si>
  <si>
    <t>Rice</t>
  </si>
  <si>
    <t>Saree</t>
  </si>
  <si>
    <t>Smartwatch</t>
  </si>
  <si>
    <t>Sofa</t>
  </si>
  <si>
    <t>Sugar</t>
  </si>
  <si>
    <t>Table</t>
  </si>
  <si>
    <t>T-Shirt</t>
  </si>
  <si>
    <t>SalesRep</t>
  </si>
  <si>
    <t>Amit</t>
  </si>
  <si>
    <t>Arjun</t>
  </si>
  <si>
    <t>Neha</t>
  </si>
  <si>
    <t>Pooja</t>
  </si>
  <si>
    <t>Priya</t>
  </si>
  <si>
    <t>Rahul</t>
  </si>
  <si>
    <t>Sneha</t>
  </si>
  <si>
    <t>Vikas</t>
  </si>
  <si>
    <t>PaymentMode</t>
  </si>
  <si>
    <t>Card</t>
  </si>
  <si>
    <t>Cash</t>
  </si>
  <si>
    <t>NetBanking</t>
  </si>
  <si>
    <t>UPI</t>
  </si>
  <si>
    <t>Jan</t>
  </si>
  <si>
    <t>Feb</t>
  </si>
  <si>
    <t>Mar</t>
  </si>
  <si>
    <t>Apr</t>
  </si>
  <si>
    <t>May</t>
  </si>
  <si>
    <t>Jun</t>
  </si>
  <si>
    <t>Jul</t>
  </si>
  <si>
    <t>Aug</t>
  </si>
  <si>
    <t>Sep</t>
  </si>
  <si>
    <t>Oct</t>
  </si>
  <si>
    <t>Nov</t>
  </si>
  <si>
    <t>Dec</t>
  </si>
  <si>
    <t>Month</t>
  </si>
  <si>
    <t>Count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</si>
</sst>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6" formatCode="\$\ 0.00,,\ &quot;M&quot;"/>
  </numFmts>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164" fontId="0" fillId="0" borderId="0" xfId="0" applyNumberFormat="1"/>
    <xf numFmtId="0" fontId="1" fillId="2" borderId="1" xfId="0" applyFont="1" applyFill="1" applyBorder="1"/>
    <xf numFmtId="0" fontId="0" fillId="0" borderId="0" xfId="0" pivotButton="1"/>
    <xf numFmtId="0" fontId="0" fillId="0" borderId="0" xfId="0" applyNumberFormat="1"/>
    <xf numFmtId="0" fontId="2" fillId="3" borderId="0" xfId="0" applyFont="1" applyFill="1" applyAlignment="1">
      <alignment horizontal="center"/>
    </xf>
    <xf numFmtId="166" fontId="0" fillId="0" borderId="0" xfId="0" applyNumberFormat="1"/>
  </cellXfs>
  <cellStyles count="1">
    <cellStyle name="Normal" xfId="0" builtinId="0"/>
  </cellStyles>
  <dxfs count="8">
    <dxf>
      <numFmt numFmtId="166" formatCode="\$\ 0.00,,\ &quot;M&quot;"/>
    </dxf>
    <dxf>
      <numFmt numFmtId="166" formatCode="\$\ 0.00,,\ &quot;M&quot;"/>
    </dxf>
    <dxf>
      <numFmt numFmtId="166" formatCode="\$\ 0.00,,\ &quot;M&quot;"/>
    </dxf>
    <dxf>
      <numFmt numFmtId="166" formatCode="\$\ 0.00,,\ &quot;M&quot;"/>
    </dxf>
    <dxf>
      <numFmt numFmtId="166" formatCode="\$\ 0.00,,\ &quot;M&quot;"/>
    </dxf>
    <dxf>
      <numFmt numFmtId="166" formatCode="\$\ 0.00,,\ &quot;M&quot;"/>
    </dxf>
    <dxf>
      <numFmt numFmtId="166" formatCode="\$\ 0.00,,\ &quot;M&quot;"/>
    </dxf>
    <dxf>
      <numFmt numFmtId="166" formatCode="\$\ 0.00,,\ &quot;M&quot;"/>
    </dxf>
  </dxfs>
  <tableStyles count="0" defaultTableStyle="TableStyleMedium2" defaultPivotStyle="PivotStyleLight16"/>
  <colors>
    <mruColors>
      <color rgb="FF385F7C"/>
      <color rgb="FFDBE4E9"/>
      <color rgb="FFCEDDE8"/>
      <color rgb="FFE1EAF1"/>
      <color rgb="FFCCDCE8"/>
      <color rgb="FFECF1F4"/>
      <color rgb="FFF0F4F6"/>
      <color rgb="FFF8F9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29" Type="http://schemas.openxmlformats.org/officeDocument/2006/relationships/customXml" Target="../customXml/item2.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externalLink" Target="externalLinks/externalLink1.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4.xml"/><Relationship Id="rId51" Type="http://schemas.openxmlformats.org/officeDocument/2006/relationships/customXml" Target="../customXml/item2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[sales_performace.xlsx]Calculations!PivotTable7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Calculations!$F$17</c:f>
              <c:strCache>
                <c:ptCount val="1"/>
                <c:pt idx="0">
                  <c:v>Total</c:v>
                </c:pt>
              </c:strCache>
            </c:strRef>
          </c:tx>
          <c:spPr>
            <a:solidFill>
              <a:schemeClr val="accent1"/>
            </a:solidFill>
            <a:ln>
              <a:noFill/>
            </a:ln>
            <a:effectLst/>
          </c:spPr>
          <c:invertIfNegative val="0"/>
          <c:cat>
            <c:strRef>
              <c:f>Calculations!$E$18:$E$34</c:f>
              <c:strCache>
                <c:ptCount val="16"/>
                <c:pt idx="0">
                  <c:v>Almirah</c:v>
                </c:pt>
                <c:pt idx="1">
                  <c:v>Atta</c:v>
                </c:pt>
                <c:pt idx="2">
                  <c:v>Chair</c:v>
                </c:pt>
                <c:pt idx="3">
                  <c:v>Headphone</c:v>
                </c:pt>
                <c:pt idx="4">
                  <c:v>Jacket</c:v>
                </c:pt>
                <c:pt idx="5">
                  <c:v>Jeans</c:v>
                </c:pt>
                <c:pt idx="6">
                  <c:v>Laptop</c:v>
                </c:pt>
                <c:pt idx="7">
                  <c:v>Mobile</c:v>
                </c:pt>
                <c:pt idx="8">
                  <c:v>Oil</c:v>
                </c:pt>
                <c:pt idx="9">
                  <c:v>Rice</c:v>
                </c:pt>
                <c:pt idx="10">
                  <c:v>Saree</c:v>
                </c:pt>
                <c:pt idx="11">
                  <c:v>Smartwatch</c:v>
                </c:pt>
                <c:pt idx="12">
                  <c:v>Sofa</c:v>
                </c:pt>
                <c:pt idx="13">
                  <c:v>Sugar</c:v>
                </c:pt>
                <c:pt idx="14">
                  <c:v>Table</c:v>
                </c:pt>
                <c:pt idx="15">
                  <c:v>T-Shirt</c:v>
                </c:pt>
              </c:strCache>
            </c:strRef>
          </c:cat>
          <c:val>
            <c:numRef>
              <c:f>Calculations!$F$18:$F$34</c:f>
              <c:numCache>
                <c:formatCode>\$#,##0;\(\$#,##0\);\$#,##0</c:formatCode>
                <c:ptCount val="16"/>
                <c:pt idx="0">
                  <c:v>16265631.309499996</c:v>
                </c:pt>
                <c:pt idx="1">
                  <c:v>15156803.464999998</c:v>
                </c:pt>
                <c:pt idx="2">
                  <c:v>12973429.033499999</c:v>
                </c:pt>
                <c:pt idx="3">
                  <c:v>12882863.100000007</c:v>
                </c:pt>
                <c:pt idx="4">
                  <c:v>15747850.673</c:v>
                </c:pt>
                <c:pt idx="5">
                  <c:v>14486473.062499994</c:v>
                </c:pt>
                <c:pt idx="6">
                  <c:v>15111391.597999994</c:v>
                </c:pt>
                <c:pt idx="7">
                  <c:v>14735301.670000006</c:v>
                </c:pt>
                <c:pt idx="8">
                  <c:v>18206313.039999992</c:v>
                </c:pt>
                <c:pt idx="9">
                  <c:v>17004708.223999999</c:v>
                </c:pt>
                <c:pt idx="10">
                  <c:v>15199784.17</c:v>
                </c:pt>
                <c:pt idx="11">
                  <c:v>15448205.065000001</c:v>
                </c:pt>
                <c:pt idx="12">
                  <c:v>16032753.694</c:v>
                </c:pt>
                <c:pt idx="13">
                  <c:v>17328021.77</c:v>
                </c:pt>
                <c:pt idx="14">
                  <c:v>15255860.554999996</c:v>
                </c:pt>
                <c:pt idx="15">
                  <c:v>15894046.370000001</c:v>
                </c:pt>
              </c:numCache>
            </c:numRef>
          </c:val>
          <c:extLst>
            <c:ext xmlns:c16="http://schemas.microsoft.com/office/drawing/2014/chart" uri="{C3380CC4-5D6E-409C-BE32-E72D297353CC}">
              <c16:uniqueId val="{00000000-F669-4EE8-8B73-4EBF977E9A7C}"/>
            </c:ext>
          </c:extLst>
        </c:ser>
        <c:dLbls>
          <c:showLegendKey val="0"/>
          <c:showVal val="0"/>
          <c:showCatName val="0"/>
          <c:showSerName val="0"/>
          <c:showPercent val="0"/>
          <c:showBubbleSize val="0"/>
        </c:dLbls>
        <c:gapWidth val="182"/>
        <c:axId val="538855072"/>
        <c:axId val="538854712"/>
      </c:barChart>
      <c:catAx>
        <c:axId val="53885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854712"/>
        <c:crosses val="autoZero"/>
        <c:auto val="1"/>
        <c:lblAlgn val="ctr"/>
        <c:lblOffset val="100"/>
        <c:noMultiLvlLbl val="0"/>
      </c:catAx>
      <c:valAx>
        <c:axId val="5388547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85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[sales_performace.xlsx]Calculations!PivotTable8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Calculations!$I$17</c:f>
              <c:strCache>
                <c:ptCount val="1"/>
                <c:pt idx="0">
                  <c:v>Total</c:v>
                </c:pt>
              </c:strCache>
            </c:strRef>
          </c:tx>
          <c:spPr>
            <a:solidFill>
              <a:schemeClr val="accent1"/>
            </a:solidFill>
            <a:ln>
              <a:noFill/>
            </a:ln>
            <a:effectLst/>
          </c:spPr>
          <c:invertIfNegative val="0"/>
          <c:cat>
            <c:strRef>
              <c:f>Calculations!$H$18:$H$26</c:f>
              <c:strCache>
                <c:ptCount val="8"/>
                <c:pt idx="0">
                  <c:v>Amit</c:v>
                </c:pt>
                <c:pt idx="1">
                  <c:v>Arjun</c:v>
                </c:pt>
                <c:pt idx="2">
                  <c:v>Neha</c:v>
                </c:pt>
                <c:pt idx="3">
                  <c:v>Pooja</c:v>
                </c:pt>
                <c:pt idx="4">
                  <c:v>Priya</c:v>
                </c:pt>
                <c:pt idx="5">
                  <c:v>Rahul</c:v>
                </c:pt>
                <c:pt idx="6">
                  <c:v>Sneha</c:v>
                </c:pt>
                <c:pt idx="7">
                  <c:v>Vikas</c:v>
                </c:pt>
              </c:strCache>
            </c:strRef>
          </c:cat>
          <c:val>
            <c:numRef>
              <c:f>Calculations!$I$18:$I$26</c:f>
              <c:numCache>
                <c:formatCode>\$#,##0;\(\$#,##0\);\$#,##0</c:formatCode>
                <c:ptCount val="8"/>
                <c:pt idx="0">
                  <c:v>29949205.872999996</c:v>
                </c:pt>
                <c:pt idx="1">
                  <c:v>31724365.608000003</c:v>
                </c:pt>
                <c:pt idx="2">
                  <c:v>31130874.293000009</c:v>
                </c:pt>
                <c:pt idx="3">
                  <c:v>30136010.335999995</c:v>
                </c:pt>
                <c:pt idx="4">
                  <c:v>32364815.507500011</c:v>
                </c:pt>
                <c:pt idx="5">
                  <c:v>29930644.559000004</c:v>
                </c:pt>
                <c:pt idx="6">
                  <c:v>27670646.458500002</c:v>
                </c:pt>
                <c:pt idx="7">
                  <c:v>34822874.164500006</c:v>
                </c:pt>
              </c:numCache>
            </c:numRef>
          </c:val>
          <c:extLst>
            <c:ext xmlns:c16="http://schemas.microsoft.com/office/drawing/2014/chart" uri="{C3380CC4-5D6E-409C-BE32-E72D297353CC}">
              <c16:uniqueId val="{00000000-0C7E-42F7-AF4C-E1EB06F3F95D}"/>
            </c:ext>
          </c:extLst>
        </c:ser>
        <c:dLbls>
          <c:showLegendKey val="0"/>
          <c:showVal val="0"/>
          <c:showCatName val="0"/>
          <c:showSerName val="0"/>
          <c:showPercent val="0"/>
          <c:showBubbleSize val="0"/>
        </c:dLbls>
        <c:gapWidth val="219"/>
        <c:overlap val="-27"/>
        <c:axId val="538853992"/>
        <c:axId val="538854352"/>
      </c:barChart>
      <c:catAx>
        <c:axId val="538853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854352"/>
        <c:crosses val="autoZero"/>
        <c:auto val="1"/>
        <c:lblAlgn val="ctr"/>
        <c:lblOffset val="100"/>
        <c:noMultiLvlLbl val="0"/>
      </c:catAx>
      <c:valAx>
        <c:axId val="538854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853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[sales_performace.xlsx]Calculations!PivotTable4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DCE8"/>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marL="0" indent="0">
                <a:defRPr lang="en-US" sz="12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Calculations!$C$8</c:f>
              <c:strCache>
                <c:ptCount val="1"/>
                <c:pt idx="0">
                  <c:v>Total</c:v>
                </c:pt>
              </c:strCache>
            </c:strRef>
          </c:tx>
          <c:spPr>
            <a:solidFill>
              <a:srgbClr val="CCDCE8"/>
            </a:soli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marL="0" indent="0">
                  <a:defRPr lang="en-US" sz="12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Calculations!$B$9:$B$13</c:f>
              <c:strCache>
                <c:ptCount val="4"/>
                <c:pt idx="0">
                  <c:v>Clothing</c:v>
                </c:pt>
                <c:pt idx="1">
                  <c:v>Electronics</c:v>
                </c:pt>
                <c:pt idx="2">
                  <c:v>Furniture</c:v>
                </c:pt>
                <c:pt idx="3">
                  <c:v>Grocery</c:v>
                </c:pt>
              </c:strCache>
            </c:strRef>
          </c:cat>
          <c:val>
            <c:numRef>
              <c:f>Calculations!$C$9:$C$13</c:f>
              <c:numCache>
                <c:formatCode>\$#,##0;\(\$#,##0\);\$#,##0</c:formatCode>
                <c:ptCount val="4"/>
                <c:pt idx="0">
                  <c:v>61328154.275500037</c:v>
                </c:pt>
                <c:pt idx="1">
                  <c:v>58177761.432999991</c:v>
                </c:pt>
                <c:pt idx="2">
                  <c:v>60527674.591999978</c:v>
                </c:pt>
                <c:pt idx="3">
                  <c:v>67695846.499000013</c:v>
                </c:pt>
              </c:numCache>
            </c:numRef>
          </c:val>
          <c:extLst>
            <c:ext xmlns:c16="http://schemas.microsoft.com/office/drawing/2014/chart" uri="{C3380CC4-5D6E-409C-BE32-E72D297353CC}">
              <c16:uniqueId val="{00000000-8FE5-4581-B24C-2E3D9DFFC7B1}"/>
            </c:ext>
          </c:extLst>
        </c:ser>
        <c:dLbls>
          <c:dLblPos val="outEnd"/>
          <c:showLegendKey val="0"/>
          <c:showVal val="1"/>
          <c:showCatName val="0"/>
          <c:showSerName val="0"/>
          <c:showPercent val="0"/>
          <c:showBubbleSize val="0"/>
        </c:dLbls>
        <c:gapWidth val="219"/>
        <c:overlap val="-27"/>
        <c:axId val="532857464"/>
        <c:axId val="532853504"/>
      </c:barChart>
      <c:catAx>
        <c:axId val="532857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crossAx val="532853504"/>
        <c:crosses val="autoZero"/>
        <c:auto val="1"/>
        <c:lblAlgn val="ctr"/>
        <c:lblOffset val="100"/>
        <c:noMultiLvlLbl val="0"/>
      </c:catAx>
      <c:valAx>
        <c:axId val="532853504"/>
        <c:scaling>
          <c:orientation val="minMax"/>
        </c:scaling>
        <c:delete val="1"/>
        <c:axPos val="l"/>
        <c:numFmt formatCode="\$#,##0;\(\$#,##0\);\$#,##0" sourceLinked="1"/>
        <c:majorTickMark val="none"/>
        <c:minorTickMark val="none"/>
        <c:tickLblPos val="nextTo"/>
        <c:crossAx val="532857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[sales_performace.xlsx]Calculations!PivotTable10</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0833333333333336E-2"/>
              <c:y val="7.1793890347039951E-2"/>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472222222222212"/>
              <c:y val="-0.11802092446777486"/>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166666666666876E-2"/>
              <c:y val="-0.10413203557888595"/>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2589676290463795E-2"/>
              <c:y val="4.8645742198891763E-2"/>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166666666666773E-2"/>
              <c:y val="-0.10413203557888598"/>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944444444444547E-2"/>
              <c:y val="9.4942038495188105E-2"/>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94444444444445E-2"/>
              <c:y val="-0.10413203557888598"/>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88888888888997E-2"/>
              <c:y val="0.1273494459025955"/>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27777777777778E-2"/>
              <c:y val="-0.10413203557888598"/>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499999999999999E-2"/>
              <c:y val="0.11809018664333625"/>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1944444444444444E-2"/>
              <c:y val="-0.15042833187518231"/>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1944444444444444E-2"/>
              <c:y val="-0.15042833187518231"/>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499999999999999E-2"/>
              <c:y val="0.11809018664333625"/>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27777777777778E-2"/>
              <c:y val="-0.10413203557888598"/>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88888888888997E-2"/>
              <c:y val="0.1273494459025955"/>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94444444444445E-2"/>
              <c:y val="-0.10413203557888598"/>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944444444444547E-2"/>
              <c:y val="9.4942038495188105E-2"/>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166666666666773E-2"/>
              <c:y val="-0.10413203557888598"/>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0833333333333336E-2"/>
              <c:y val="7.1793890347039951E-2"/>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472222222222212"/>
              <c:y val="-0.11802092446777486"/>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166666666666876E-2"/>
              <c:y val="-0.10413203557888595"/>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2589676290463795E-2"/>
              <c:y val="4.8645742198891763E-2"/>
            </c:manualLayout>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E1EAF1"/>
            </a:solidFill>
            <a:round/>
          </a:ln>
          <a:effectLst/>
        </c:spPr>
        <c:marker>
          <c:symbol val="circle"/>
          <c:size val="5"/>
          <c:spPr>
            <a:solidFill>
              <a:srgbClr val="385F7C"/>
            </a:solidFill>
            <a:ln w="9525">
              <a:noFill/>
            </a:ln>
            <a:effectLst/>
          </c:spPr>
        </c:marker>
        <c:dLbl>
          <c:idx val="0"/>
          <c:numFmt formatCode="\$0.00,,\ &quot;M&quot;" sourceLinked="0"/>
          <c:spPr>
            <a:noFill/>
            <a:ln>
              <a:noFill/>
            </a:ln>
            <a:effectLst/>
          </c:spPr>
          <c:txPr>
            <a:bodyPr rot="0" spcFirstLastPara="1" vertOverflow="ellipsis" vert="horz"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E1EAF1"/>
            </a:solidFill>
            <a:round/>
          </a:ln>
          <a:effectLst/>
        </c:spPr>
        <c:marker>
          <c:symbol val="circle"/>
          <c:size val="5"/>
          <c:spPr>
            <a:solidFill>
              <a:srgbClr val="385F7C"/>
            </a:solidFill>
            <a:ln w="9525">
              <a:noFill/>
            </a:ln>
            <a:effectLst/>
          </c:spPr>
        </c:marker>
        <c:dLbl>
          <c:idx val="0"/>
          <c:layout>
            <c:manualLayout>
              <c:x val="-2.1944444444444444E-2"/>
              <c:y val="-0.15042833187518231"/>
            </c:manualLayout>
          </c:layout>
          <c:numFmt formatCode="\$0.00,,\ &quot;M&quot;" sourceLinked="0"/>
          <c:spPr>
            <a:noFill/>
            <a:ln>
              <a:noFill/>
            </a:ln>
            <a:effectLst/>
          </c:spPr>
          <c:txPr>
            <a:bodyPr rot="0" spcFirstLastPara="1" vertOverflow="ellipsis" vert="horz"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E1EAF1"/>
            </a:solidFill>
            <a:round/>
          </a:ln>
          <a:effectLst/>
        </c:spPr>
        <c:marker>
          <c:symbol val="circle"/>
          <c:size val="5"/>
          <c:spPr>
            <a:solidFill>
              <a:srgbClr val="385F7C"/>
            </a:solidFill>
            <a:ln w="9525">
              <a:noFill/>
            </a:ln>
            <a:effectLst/>
          </c:spPr>
        </c:marker>
        <c:dLbl>
          <c:idx val="0"/>
          <c:layout>
            <c:manualLayout>
              <c:x val="-7.7499999999999999E-2"/>
              <c:y val="0.11809018664333625"/>
            </c:manualLayout>
          </c:layout>
          <c:numFmt formatCode="\$0.00,,\ &quot;M&quot;" sourceLinked="0"/>
          <c:spPr>
            <a:noFill/>
            <a:ln>
              <a:noFill/>
            </a:ln>
            <a:effectLst/>
          </c:spPr>
          <c:txPr>
            <a:bodyPr rot="0" spcFirstLastPara="1" vertOverflow="ellipsis" vert="horz"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E1EAF1"/>
            </a:solidFill>
            <a:round/>
          </a:ln>
          <a:effectLst/>
        </c:spPr>
        <c:marker>
          <c:symbol val="circle"/>
          <c:size val="5"/>
          <c:spPr>
            <a:solidFill>
              <a:srgbClr val="385F7C"/>
            </a:solidFill>
            <a:ln w="9525">
              <a:noFill/>
            </a:ln>
            <a:effectLst/>
          </c:spPr>
        </c:marker>
        <c:dLbl>
          <c:idx val="0"/>
          <c:layout>
            <c:manualLayout>
              <c:x val="-5.527777777777778E-2"/>
              <c:y val="-0.10413203557888598"/>
            </c:manualLayout>
          </c:layout>
          <c:numFmt formatCode="\$0.00,,\ &quot;M&quot;" sourceLinked="0"/>
          <c:spPr>
            <a:noFill/>
            <a:ln>
              <a:noFill/>
            </a:ln>
            <a:effectLst/>
          </c:spPr>
          <c:txPr>
            <a:bodyPr rot="0" spcFirstLastPara="1" vertOverflow="ellipsis" vert="horz"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E1EAF1"/>
            </a:solidFill>
            <a:round/>
          </a:ln>
          <a:effectLst/>
        </c:spPr>
        <c:marker>
          <c:symbol val="circle"/>
          <c:size val="5"/>
          <c:spPr>
            <a:solidFill>
              <a:srgbClr val="385F7C"/>
            </a:solidFill>
            <a:ln w="9525">
              <a:noFill/>
            </a:ln>
            <a:effectLst/>
          </c:spPr>
        </c:marker>
        <c:dLbl>
          <c:idx val="0"/>
          <c:layout>
            <c:manualLayout>
              <c:x val="-6.6388888888888997E-2"/>
              <c:y val="0.1273494459025955"/>
            </c:manualLayout>
          </c:layout>
          <c:numFmt formatCode="\$0.00,,\ &quot;M&quot;" sourceLinked="0"/>
          <c:spPr>
            <a:noFill/>
            <a:ln>
              <a:noFill/>
            </a:ln>
            <a:effectLst/>
          </c:spPr>
          <c:txPr>
            <a:bodyPr rot="0" spcFirstLastPara="1" vertOverflow="ellipsis" vert="horz"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rgbClr val="E1EAF1"/>
            </a:solidFill>
            <a:round/>
          </a:ln>
          <a:effectLst/>
        </c:spPr>
        <c:marker>
          <c:symbol val="circle"/>
          <c:size val="5"/>
          <c:spPr>
            <a:solidFill>
              <a:srgbClr val="385F7C"/>
            </a:solidFill>
            <a:ln w="9525">
              <a:noFill/>
            </a:ln>
            <a:effectLst/>
          </c:spPr>
        </c:marker>
        <c:dLbl>
          <c:idx val="0"/>
          <c:layout>
            <c:manualLayout>
              <c:x val="-7.194444444444445E-2"/>
              <c:y val="-0.10413203557888598"/>
            </c:manualLayout>
          </c:layout>
          <c:numFmt formatCode="\$0.00,,\ &quot;M&quot;" sourceLinked="0"/>
          <c:spPr>
            <a:noFill/>
            <a:ln>
              <a:noFill/>
            </a:ln>
            <a:effectLst/>
          </c:spPr>
          <c:txPr>
            <a:bodyPr rot="0" spcFirstLastPara="1" vertOverflow="ellipsis" vert="horz"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E1EAF1"/>
            </a:solidFill>
            <a:round/>
          </a:ln>
          <a:effectLst/>
        </c:spPr>
        <c:marker>
          <c:symbol val="circle"/>
          <c:size val="5"/>
          <c:spPr>
            <a:solidFill>
              <a:srgbClr val="385F7C"/>
            </a:solidFill>
            <a:ln w="9525">
              <a:noFill/>
            </a:ln>
            <a:effectLst/>
          </c:spPr>
        </c:marker>
        <c:dLbl>
          <c:idx val="0"/>
          <c:layout>
            <c:manualLayout>
              <c:x val="-7.1944444444444547E-2"/>
              <c:y val="9.4942038495188105E-2"/>
            </c:manualLayout>
          </c:layout>
          <c:numFmt formatCode="\$0.00,,\ &quot;M&quot;" sourceLinked="0"/>
          <c:spPr>
            <a:noFill/>
            <a:ln>
              <a:noFill/>
            </a:ln>
            <a:effectLst/>
          </c:spPr>
          <c:txPr>
            <a:bodyPr rot="0" spcFirstLastPara="1" vertOverflow="ellipsis" vert="horz"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E1EAF1"/>
            </a:solidFill>
            <a:round/>
          </a:ln>
          <a:effectLst/>
        </c:spPr>
        <c:marker>
          <c:symbol val="circle"/>
          <c:size val="5"/>
          <c:spPr>
            <a:solidFill>
              <a:srgbClr val="385F7C"/>
            </a:solidFill>
            <a:ln w="9525">
              <a:noFill/>
            </a:ln>
            <a:effectLst/>
          </c:spPr>
        </c:marker>
        <c:dLbl>
          <c:idx val="0"/>
          <c:layout>
            <c:manualLayout>
              <c:x val="-9.4166666666666773E-2"/>
              <c:y val="-0.10413203557888598"/>
            </c:manualLayout>
          </c:layout>
          <c:numFmt formatCode="\$0.00,,\ &quot;M&quot;" sourceLinked="0"/>
          <c:spPr>
            <a:noFill/>
            <a:ln>
              <a:noFill/>
            </a:ln>
            <a:effectLst/>
          </c:spPr>
          <c:txPr>
            <a:bodyPr rot="0" spcFirstLastPara="1" vertOverflow="ellipsis" vert="horz"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rgbClr val="E1EAF1"/>
            </a:solidFill>
            <a:round/>
          </a:ln>
          <a:effectLst/>
        </c:spPr>
        <c:marker>
          <c:symbol val="circle"/>
          <c:size val="5"/>
          <c:spPr>
            <a:solidFill>
              <a:srgbClr val="385F7C"/>
            </a:solidFill>
            <a:ln w="9525">
              <a:noFill/>
            </a:ln>
            <a:effectLst/>
          </c:spPr>
        </c:marker>
        <c:dLbl>
          <c:idx val="0"/>
          <c:layout>
            <c:manualLayout>
              <c:x val="-6.0833333333333336E-2"/>
              <c:y val="7.1793890347039951E-2"/>
            </c:manualLayout>
          </c:layout>
          <c:numFmt formatCode="\$0.00,,\ &quot;M&quot;" sourceLinked="0"/>
          <c:spPr>
            <a:noFill/>
            <a:ln>
              <a:noFill/>
            </a:ln>
            <a:effectLst/>
          </c:spPr>
          <c:txPr>
            <a:bodyPr rot="0" spcFirstLastPara="1" vertOverflow="ellipsis" vert="horz"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rgbClr val="E1EAF1"/>
            </a:solidFill>
            <a:round/>
          </a:ln>
          <a:effectLst/>
        </c:spPr>
        <c:marker>
          <c:symbol val="circle"/>
          <c:size val="5"/>
          <c:spPr>
            <a:solidFill>
              <a:srgbClr val="385F7C"/>
            </a:solidFill>
            <a:ln w="9525">
              <a:noFill/>
            </a:ln>
            <a:effectLst/>
          </c:spPr>
        </c:marker>
        <c:dLbl>
          <c:idx val="0"/>
          <c:layout>
            <c:manualLayout>
              <c:x val="-0.12472222222222212"/>
              <c:y val="-0.11802092446777486"/>
            </c:manualLayout>
          </c:layout>
          <c:numFmt formatCode="\$0.00,,\ &quot;M&quot;" sourceLinked="0"/>
          <c:spPr>
            <a:noFill/>
            <a:ln>
              <a:noFill/>
            </a:ln>
            <a:effectLst/>
          </c:spPr>
          <c:txPr>
            <a:bodyPr rot="0" spcFirstLastPara="1" vertOverflow="ellipsis" vert="horz"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rgbClr val="E1EAF1"/>
            </a:solidFill>
            <a:round/>
          </a:ln>
          <a:effectLst/>
        </c:spPr>
        <c:marker>
          <c:symbol val="circle"/>
          <c:size val="5"/>
          <c:spPr>
            <a:solidFill>
              <a:srgbClr val="385F7C"/>
            </a:solidFill>
            <a:ln w="9525">
              <a:noFill/>
            </a:ln>
            <a:effectLst/>
          </c:spPr>
        </c:marker>
        <c:dLbl>
          <c:idx val="0"/>
          <c:layout>
            <c:manualLayout>
              <c:x val="-6.9166666666666876E-2"/>
              <c:y val="-0.10413203557888595"/>
            </c:manualLayout>
          </c:layout>
          <c:numFmt formatCode="\$0.00,,\ &quot;M&quot;" sourceLinked="0"/>
          <c:spPr>
            <a:noFill/>
            <a:ln>
              <a:noFill/>
            </a:ln>
            <a:effectLst/>
          </c:spPr>
          <c:txPr>
            <a:bodyPr rot="0" spcFirstLastPara="1" vertOverflow="ellipsis" vert="horz"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rgbClr val="E1EAF1"/>
            </a:solidFill>
            <a:round/>
          </a:ln>
          <a:effectLst/>
        </c:spPr>
        <c:marker>
          <c:symbol val="circle"/>
          <c:size val="5"/>
          <c:spPr>
            <a:solidFill>
              <a:srgbClr val="385F7C"/>
            </a:solidFill>
            <a:ln w="9525">
              <a:noFill/>
            </a:ln>
            <a:effectLst/>
          </c:spPr>
        </c:marker>
        <c:dLbl>
          <c:idx val="0"/>
          <c:layout>
            <c:manualLayout>
              <c:x val="-1.2589676290463795E-2"/>
              <c:y val="4.8645742198891763E-2"/>
            </c:manualLayout>
          </c:layout>
          <c:numFmt formatCode="\$0.00,,\ &quot;M&quot;" sourceLinked="0"/>
          <c:spPr>
            <a:noFill/>
            <a:ln>
              <a:noFill/>
            </a:ln>
            <a:effectLst/>
          </c:spPr>
          <c:txPr>
            <a:bodyPr rot="0" spcFirstLastPara="1" vertOverflow="ellipsis" vert="horz"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Calculations!$C$38</c:f>
              <c:strCache>
                <c:ptCount val="1"/>
                <c:pt idx="0">
                  <c:v>Total</c:v>
                </c:pt>
              </c:strCache>
            </c:strRef>
          </c:tx>
          <c:spPr>
            <a:ln w="28575" cap="rnd">
              <a:solidFill>
                <a:srgbClr val="E1EAF1"/>
              </a:solidFill>
              <a:round/>
            </a:ln>
            <a:effectLst/>
          </c:spPr>
          <c:marker>
            <c:symbol val="circle"/>
            <c:size val="5"/>
            <c:spPr>
              <a:solidFill>
                <a:srgbClr val="385F7C"/>
              </a:solidFill>
              <a:ln w="9525">
                <a:noFill/>
              </a:ln>
              <a:effectLst/>
            </c:spPr>
          </c:marker>
          <c:dLbls>
            <c:dLbl>
              <c:idx val="1"/>
              <c:layout>
                <c:manualLayout>
                  <c:x val="-2.1944444444444444E-2"/>
                  <c:y val="-0.1504283318751823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9E-4B38-AAC5-F9D397DE838E}"/>
                </c:ext>
              </c:extLst>
            </c:dLbl>
            <c:dLbl>
              <c:idx val="2"/>
              <c:layout>
                <c:manualLayout>
                  <c:x val="-7.7499999999999999E-2"/>
                  <c:y val="0.118090186643336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9E-4B38-AAC5-F9D397DE838E}"/>
                </c:ext>
              </c:extLst>
            </c:dLbl>
            <c:dLbl>
              <c:idx val="3"/>
              <c:layout>
                <c:manualLayout>
                  <c:x val="-5.527777777777778E-2"/>
                  <c:y val="-0.104132035578885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9E-4B38-AAC5-F9D397DE838E}"/>
                </c:ext>
              </c:extLst>
            </c:dLbl>
            <c:dLbl>
              <c:idx val="4"/>
              <c:layout>
                <c:manualLayout>
                  <c:x val="-6.6388888888888997E-2"/>
                  <c:y val="0.12734944590259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9E-4B38-AAC5-F9D397DE838E}"/>
                </c:ext>
              </c:extLst>
            </c:dLbl>
            <c:dLbl>
              <c:idx val="5"/>
              <c:layout>
                <c:manualLayout>
                  <c:x val="-7.194444444444445E-2"/>
                  <c:y val="-0.104132035578885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C9E-4B38-AAC5-F9D397DE838E}"/>
                </c:ext>
              </c:extLst>
            </c:dLbl>
            <c:dLbl>
              <c:idx val="6"/>
              <c:layout>
                <c:manualLayout>
                  <c:x val="-7.1944444444444547E-2"/>
                  <c:y val="9.4942038495188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C9E-4B38-AAC5-F9D397DE838E}"/>
                </c:ext>
              </c:extLst>
            </c:dLbl>
            <c:dLbl>
              <c:idx val="7"/>
              <c:layout>
                <c:manualLayout>
                  <c:x val="-9.4166666666666773E-2"/>
                  <c:y val="-0.104132035578885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C9E-4B38-AAC5-F9D397DE838E}"/>
                </c:ext>
              </c:extLst>
            </c:dLbl>
            <c:dLbl>
              <c:idx val="8"/>
              <c:layout>
                <c:manualLayout>
                  <c:x val="-6.0833333333333336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C9E-4B38-AAC5-F9D397DE838E}"/>
                </c:ext>
              </c:extLst>
            </c:dLbl>
            <c:dLbl>
              <c:idx val="9"/>
              <c:layout>
                <c:manualLayout>
                  <c:x val="-0.12472222222222212"/>
                  <c:y val="-0.118020924467774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C9E-4B38-AAC5-F9D397DE838E}"/>
                </c:ext>
              </c:extLst>
            </c:dLbl>
            <c:dLbl>
              <c:idx val="10"/>
              <c:layout>
                <c:manualLayout>
                  <c:x val="-6.9166666666666876E-2"/>
                  <c:y val="-0.104132035578885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C9E-4B38-AAC5-F9D397DE838E}"/>
                </c:ext>
              </c:extLst>
            </c:dLbl>
            <c:dLbl>
              <c:idx val="11"/>
              <c:layout>
                <c:manualLayout>
                  <c:x val="-1.2589676290463795E-2"/>
                  <c:y val="4.86457421988917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C9E-4B38-AAC5-F9D397DE838E}"/>
                </c:ext>
              </c:extLst>
            </c:dLbl>
            <c:numFmt formatCode="\$0.00,,\ &quot;M&quot;" sourceLinked="0"/>
            <c:spPr>
              <a:noFill/>
              <a:ln>
                <a:noFill/>
              </a:ln>
              <a:effectLst/>
            </c:spPr>
            <c:txPr>
              <a:bodyPr rot="0" spcFirstLastPara="1" vertOverflow="ellipsis" vert="horz"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ysDot"/>
                      <a:round/>
                    </a:ln>
                    <a:effectLst/>
                  </c:spPr>
                </c15:leaderLines>
              </c:ext>
            </c:extLst>
          </c:dLbls>
          <c:cat>
            <c:strRef>
              <c:f>Calculations!$B$39:$B$51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Calculations!$C$39:$C$51</c:f>
              <c:numCache>
                <c:formatCode>\$#,##0;\(\$#,##0\);\$#,##0</c:formatCode>
                <c:ptCount val="12"/>
                <c:pt idx="0">
                  <c:v>20431706.246499997</c:v>
                </c:pt>
                <c:pt idx="1">
                  <c:v>19688604.207500007</c:v>
                </c:pt>
                <c:pt idx="2">
                  <c:v>16936887.270000007</c:v>
                </c:pt>
                <c:pt idx="3">
                  <c:v>18735608.26549999</c:v>
                </c:pt>
                <c:pt idx="4">
                  <c:v>17656963.824999999</c:v>
                </c:pt>
                <c:pt idx="5">
                  <c:v>20615676.185999997</c:v>
                </c:pt>
                <c:pt idx="6">
                  <c:v>19220578.412999999</c:v>
                </c:pt>
                <c:pt idx="7">
                  <c:v>22966142.43999999</c:v>
                </c:pt>
                <c:pt idx="8">
                  <c:v>18258699.360000003</c:v>
                </c:pt>
                <c:pt idx="9">
                  <c:v>24559555.02700001</c:v>
                </c:pt>
                <c:pt idx="10">
                  <c:v>26672348.030000001</c:v>
                </c:pt>
                <c:pt idx="11">
                  <c:v>21986667.529000007</c:v>
                </c:pt>
              </c:numCache>
            </c:numRef>
          </c:val>
          <c:smooth val="0"/>
          <c:extLst>
            <c:ext xmlns:c16="http://schemas.microsoft.com/office/drawing/2014/chart" uri="{C3380CC4-5D6E-409C-BE32-E72D297353CC}">
              <c16:uniqueId val="{0000000B-DC9E-4B38-AAC5-F9D397DE838E}"/>
            </c:ext>
          </c:extLst>
        </c:ser>
        <c:dLbls>
          <c:dLblPos val="t"/>
          <c:showLegendKey val="0"/>
          <c:showVal val="1"/>
          <c:showCatName val="0"/>
          <c:showSerName val="0"/>
          <c:showPercent val="0"/>
          <c:showBubbleSize val="0"/>
        </c:dLbls>
        <c:marker val="1"/>
        <c:smooth val="0"/>
        <c:axId val="536753736"/>
        <c:axId val="536756616"/>
      </c:lineChart>
      <c:catAx>
        <c:axId val="5367537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crossAx val="536756616"/>
        <c:crosses val="autoZero"/>
        <c:auto val="1"/>
        <c:lblAlgn val="ctr"/>
        <c:lblOffset val="100"/>
        <c:noMultiLvlLbl val="0"/>
      </c:catAx>
      <c:valAx>
        <c:axId val="536756616"/>
        <c:scaling>
          <c:orientation val="minMax"/>
        </c:scaling>
        <c:delete val="1"/>
        <c:axPos val="l"/>
        <c:numFmt formatCode="\$#,##0;\(\$#,##0\);\$#,##0" sourceLinked="1"/>
        <c:majorTickMark val="none"/>
        <c:minorTickMark val="none"/>
        <c:tickLblPos val="nextTo"/>
        <c:crossAx val="536753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[sales_performace.xlsx]Calculations!PivotTable6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DC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CDC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CDCE8"/>
          </a:solidFill>
          <a:ln>
            <a:noFill/>
          </a:ln>
          <a:effectLst/>
        </c:spPr>
        <c:marker>
          <c:symbol val="none"/>
        </c:marker>
        <c:dLbl>
          <c:idx val="0"/>
          <c:numFmt formatCode="\$0.00,,\ &quot;M&quot;" sourceLinked="0"/>
          <c:spPr>
            <a:noFill/>
            <a:ln>
              <a:noFill/>
            </a:ln>
            <a:effectLst/>
          </c:spPr>
          <c:txPr>
            <a:bodyPr rot="0" spcFirstLastPara="1" vertOverflow="ellipsis" vert="horz" wrap="square" anchor="ctr" anchorCtr="1"/>
            <a:lstStyle/>
            <a:p>
              <a:pPr>
                <a:defRPr lang="en-US" sz="12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Calculations!$C$17</c:f>
              <c:strCache>
                <c:ptCount val="1"/>
                <c:pt idx="0">
                  <c:v>Total</c:v>
                </c:pt>
              </c:strCache>
            </c:strRef>
          </c:tx>
          <c:spPr>
            <a:solidFill>
              <a:srgbClr val="CCDCE8"/>
            </a:solidFill>
            <a:ln>
              <a:noFill/>
            </a:ln>
            <a:effectLst/>
          </c:spPr>
          <c:invertIfNegative val="0"/>
          <c:dLbls>
            <c:numFmt formatCode="\$0.00,,\ &quot;M&quot;" sourceLinked="0"/>
            <c:spPr>
              <a:noFill/>
              <a:ln>
                <a:noFill/>
              </a:ln>
              <a:effectLst/>
            </c:spPr>
            <c:txPr>
              <a:bodyPr rot="0" spcFirstLastPara="1" vertOverflow="ellipsis" vert="horz" wrap="square" anchor="ctr" anchorCtr="1"/>
              <a:lstStyle/>
              <a:p>
                <a:pPr>
                  <a:defRPr lang="en-US" sz="12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Calculations!$B$18:$B$30</c:f>
              <c:strCache>
                <c:ptCount val="12"/>
                <c:pt idx="0">
                  <c:v>Kolkata</c:v>
                </c:pt>
                <c:pt idx="1">
                  <c:v>Mumbai</c:v>
                </c:pt>
                <c:pt idx="2">
                  <c:v>Ahmedabad</c:v>
                </c:pt>
                <c:pt idx="3">
                  <c:v>Patna</c:v>
                </c:pt>
                <c:pt idx="4">
                  <c:v>Delhi</c:v>
                </c:pt>
                <c:pt idx="5">
                  <c:v>Bangalore</c:v>
                </c:pt>
                <c:pt idx="6">
                  <c:v>Pune</c:v>
                </c:pt>
                <c:pt idx="7">
                  <c:v>Bhubaneswar</c:v>
                </c:pt>
                <c:pt idx="8">
                  <c:v>Hyderabad</c:v>
                </c:pt>
                <c:pt idx="9">
                  <c:v>Lucknow</c:v>
                </c:pt>
                <c:pt idx="10">
                  <c:v>Jaipur</c:v>
                </c:pt>
                <c:pt idx="11">
                  <c:v>Chennai</c:v>
                </c:pt>
              </c:strCache>
            </c:strRef>
          </c:cat>
          <c:val>
            <c:numRef>
              <c:f>Calculations!$C$18:$C$30</c:f>
              <c:numCache>
                <c:formatCode>\$#,##0;\(\$#,##0\);\$#,##0</c:formatCode>
                <c:ptCount val="12"/>
                <c:pt idx="0">
                  <c:v>14696322.424999997</c:v>
                </c:pt>
                <c:pt idx="1">
                  <c:v>15985935.960000005</c:v>
                </c:pt>
                <c:pt idx="2">
                  <c:v>17733337.740000002</c:v>
                </c:pt>
                <c:pt idx="3">
                  <c:v>18782058.339000005</c:v>
                </c:pt>
                <c:pt idx="4">
                  <c:v>20536008.452499997</c:v>
                </c:pt>
                <c:pt idx="5">
                  <c:v>21025380.540000003</c:v>
                </c:pt>
                <c:pt idx="6">
                  <c:v>21153254.674999993</c:v>
                </c:pt>
                <c:pt idx="7">
                  <c:v>21282270.446000006</c:v>
                </c:pt>
                <c:pt idx="8">
                  <c:v>22581943.964000016</c:v>
                </c:pt>
                <c:pt idx="9">
                  <c:v>23301266.839999996</c:v>
                </c:pt>
                <c:pt idx="10">
                  <c:v>23652259.677999992</c:v>
                </c:pt>
                <c:pt idx="11">
                  <c:v>26999397.739999991</c:v>
                </c:pt>
              </c:numCache>
            </c:numRef>
          </c:val>
          <c:extLst>
            <c:ext xmlns:c16="http://schemas.microsoft.com/office/drawing/2014/chart" uri="{C3380CC4-5D6E-409C-BE32-E72D297353CC}">
              <c16:uniqueId val="{00000000-BA36-46A8-9589-10ABC14505DB}"/>
            </c:ext>
          </c:extLst>
        </c:ser>
        <c:dLbls>
          <c:showLegendKey val="0"/>
          <c:showVal val="0"/>
          <c:showCatName val="0"/>
          <c:showSerName val="0"/>
          <c:showPercent val="0"/>
          <c:showBubbleSize val="0"/>
        </c:dLbls>
        <c:gapWidth val="182"/>
        <c:axId val="536760936"/>
        <c:axId val="536762376"/>
      </c:barChart>
      <c:catAx>
        <c:axId val="5367609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200" b="0" i="0" u="none" strike="noStrike" kern="1200" baseline="0">
                <a:solidFill>
                  <a:schemeClr val="tx1">
                    <a:lumMod val="50000"/>
                    <a:lumOff val="50000"/>
                  </a:schemeClr>
                </a:solidFill>
                <a:latin typeface="+mn-lt"/>
                <a:ea typeface="+mn-ea"/>
                <a:cs typeface="+mn-cs"/>
              </a:defRPr>
            </a:pPr>
            <a:endParaRPr lang="en-US"/>
          </a:p>
        </c:txPr>
        <c:crossAx val="536762376"/>
        <c:crosses val="autoZero"/>
        <c:auto val="1"/>
        <c:lblAlgn val="ctr"/>
        <c:lblOffset val="100"/>
        <c:noMultiLvlLbl val="0"/>
      </c:catAx>
      <c:valAx>
        <c:axId val="536762376"/>
        <c:scaling>
          <c:orientation val="minMax"/>
        </c:scaling>
        <c:delete val="1"/>
        <c:axPos val="b"/>
        <c:numFmt formatCode="\$0.00,,\ &quot;M&quot;" sourceLinked="0"/>
        <c:majorTickMark val="none"/>
        <c:minorTickMark val="none"/>
        <c:tickLblPos val="nextTo"/>
        <c:crossAx val="536760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marL="0" indent="0">
        <a:defRPr lang="en-US" sz="1200">
          <a:solidFill>
            <a:schemeClr val="tx1">
              <a:lumMod val="50000"/>
              <a:lumOff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[sales_performace.xlsx]Calculations!PivotTable5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CCDCE8"/>
          </a:solidFill>
          <a:ln w="19050">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EDDE8"/>
          </a:solidFill>
          <a:ln w="19050">
            <a:noFill/>
          </a:ln>
          <a:effectLst/>
        </c:spPr>
      </c:pivotFmt>
      <c:pivotFmt>
        <c:idx val="8"/>
        <c:spPr>
          <a:solidFill>
            <a:srgbClr val="DBE4E9"/>
          </a:solidFill>
          <a:ln w="19050">
            <a:noFill/>
          </a:ln>
          <a:effectLst/>
        </c:spPr>
      </c:pivotFmt>
      <c:pivotFmt>
        <c:idx val="9"/>
        <c:spPr>
          <a:solidFill>
            <a:srgbClr val="CCDCE8"/>
          </a:solidFill>
          <a:ln w="19050">
            <a:noFill/>
          </a:ln>
          <a:effectLst/>
        </c:spPr>
      </c:pivotFmt>
      <c:pivotFmt>
        <c:idx val="10"/>
        <c:spPr>
          <a:solidFill>
            <a:srgbClr val="E1EAF1"/>
          </a:solidFill>
          <a:ln w="19050">
            <a:noFill/>
          </a:ln>
          <a:effectLst/>
        </c:spPr>
      </c:pivotFmt>
      <c:pivotFmt>
        <c:idx val="11"/>
        <c:spPr>
          <a:solidFill>
            <a:srgbClr val="CCDCE8"/>
          </a:solidFill>
          <a:ln w="19050">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EDDE8"/>
          </a:solidFill>
          <a:ln w="19050">
            <a:noFill/>
          </a:ln>
          <a:effectLst/>
        </c:spPr>
      </c:pivotFmt>
      <c:pivotFmt>
        <c:idx val="13"/>
        <c:spPr>
          <a:solidFill>
            <a:srgbClr val="DBE4E9"/>
          </a:solidFill>
          <a:ln w="19050">
            <a:noFill/>
          </a:ln>
          <a:effectLst/>
        </c:spPr>
      </c:pivotFmt>
      <c:pivotFmt>
        <c:idx val="14"/>
        <c:spPr>
          <a:solidFill>
            <a:srgbClr val="CCDCE8"/>
          </a:solidFill>
          <a:ln w="19050">
            <a:noFill/>
          </a:ln>
          <a:effectLst/>
        </c:spPr>
      </c:pivotFmt>
      <c:pivotFmt>
        <c:idx val="15"/>
        <c:spPr>
          <a:solidFill>
            <a:srgbClr val="E1EAF1"/>
          </a:solidFill>
          <a:ln w="19050">
            <a:noFill/>
          </a:ln>
          <a:effectLst/>
        </c:spPr>
      </c:pivotFmt>
      <c:pivotFmt>
        <c:idx val="16"/>
        <c:spPr>
          <a:solidFill>
            <a:srgbClr val="CCDCE8"/>
          </a:solidFill>
          <a:ln w="19050">
            <a:noFill/>
          </a:ln>
          <a:effectLst/>
        </c:spPr>
        <c:marker>
          <c:symbol val="none"/>
        </c:marker>
        <c:dLbl>
          <c:idx val="0"/>
          <c:numFmt formatCode="General" sourceLinked="0"/>
          <c:spPr>
            <a:noFill/>
            <a:ln>
              <a:noFill/>
            </a:ln>
            <a:effectLst/>
          </c:spPr>
          <c:txPr>
            <a:bodyPr rot="-900000" spcFirstLastPara="1" vertOverflow="ellipsis"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CEDDE8"/>
          </a:solidFill>
          <a:ln w="19050">
            <a:noFill/>
          </a:ln>
          <a:effectLst/>
        </c:spPr>
        <c:dLbl>
          <c:idx val="0"/>
          <c:layout>
            <c:manualLayout>
              <c:x val="6.2500017087712328E-2"/>
              <c:y val="0"/>
            </c:manualLayout>
          </c:layout>
          <c:numFmt formatCode="General" sourceLinked="0"/>
          <c:spPr>
            <a:noFill/>
            <a:ln>
              <a:noFill/>
            </a:ln>
            <a:effectLst/>
          </c:spPr>
          <c:txPr>
            <a:bodyPr rot="-900000" spcFirstLastPara="1" vertOverflow="ellipsis"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DBE4E9"/>
          </a:solidFill>
          <a:ln w="19050">
            <a:noFill/>
          </a:ln>
          <a:effectLst/>
        </c:spPr>
      </c:pivotFmt>
      <c:pivotFmt>
        <c:idx val="19"/>
        <c:spPr>
          <a:solidFill>
            <a:srgbClr val="CCDCE8"/>
          </a:solidFill>
          <a:ln w="19050">
            <a:noFill/>
          </a:ln>
          <a:effectLst/>
        </c:spPr>
      </c:pivotFmt>
      <c:pivotFmt>
        <c:idx val="20"/>
        <c:spPr>
          <a:solidFill>
            <a:srgbClr val="E1EAF1"/>
          </a:solidFill>
          <a:ln w="19050">
            <a:noFill/>
          </a:ln>
          <a:effectLst/>
        </c:spPr>
      </c:pivotFmt>
    </c:pivotFmts>
    <c:plotArea>
      <c:layout>
        <c:manualLayout>
          <c:layoutTarget val="inner"/>
          <c:xMode val="edge"/>
          <c:yMode val="edge"/>
          <c:x val="0.17781801668252861"/>
          <c:y val="0.12109957667288039"/>
          <c:w val="0.5598962598141568"/>
          <c:h val="0.85901847840494772"/>
        </c:manualLayout>
      </c:layout>
      <c:doughnutChart>
        <c:varyColors val="1"/>
        <c:ser>
          <c:idx val="0"/>
          <c:order val="0"/>
          <c:tx>
            <c:strRef>
              <c:f>Calculations!$F$8</c:f>
              <c:strCache>
                <c:ptCount val="1"/>
                <c:pt idx="0">
                  <c:v>Total</c:v>
                </c:pt>
              </c:strCache>
            </c:strRef>
          </c:tx>
          <c:spPr>
            <a:solidFill>
              <a:srgbClr val="CCDCE8"/>
            </a:solidFill>
            <a:ln>
              <a:noFill/>
            </a:ln>
          </c:spPr>
          <c:explosion val="1"/>
          <c:dPt>
            <c:idx val="0"/>
            <c:bubble3D val="0"/>
            <c:spPr>
              <a:solidFill>
                <a:srgbClr val="CEDDE8"/>
              </a:solidFill>
              <a:ln w="19050">
                <a:noFill/>
              </a:ln>
              <a:effectLst/>
            </c:spPr>
            <c:extLst>
              <c:ext xmlns:c16="http://schemas.microsoft.com/office/drawing/2014/chart" uri="{C3380CC4-5D6E-409C-BE32-E72D297353CC}">
                <c16:uniqueId val="{00000001-51BD-4E67-B260-8C4B678F5C32}"/>
              </c:ext>
            </c:extLst>
          </c:dPt>
          <c:dPt>
            <c:idx val="1"/>
            <c:bubble3D val="0"/>
            <c:spPr>
              <a:solidFill>
                <a:srgbClr val="DBE4E9"/>
              </a:solidFill>
              <a:ln w="19050">
                <a:noFill/>
              </a:ln>
              <a:effectLst/>
            </c:spPr>
            <c:extLst>
              <c:ext xmlns:c16="http://schemas.microsoft.com/office/drawing/2014/chart" uri="{C3380CC4-5D6E-409C-BE32-E72D297353CC}">
                <c16:uniqueId val="{00000003-51BD-4E67-B260-8C4B678F5C32}"/>
              </c:ext>
            </c:extLst>
          </c:dPt>
          <c:dPt>
            <c:idx val="2"/>
            <c:bubble3D val="0"/>
            <c:spPr>
              <a:solidFill>
                <a:srgbClr val="CCDCE8"/>
              </a:solidFill>
              <a:ln w="19050">
                <a:noFill/>
              </a:ln>
              <a:effectLst/>
            </c:spPr>
            <c:extLst>
              <c:ext xmlns:c16="http://schemas.microsoft.com/office/drawing/2014/chart" uri="{C3380CC4-5D6E-409C-BE32-E72D297353CC}">
                <c16:uniqueId val="{00000005-51BD-4E67-B260-8C4B678F5C32}"/>
              </c:ext>
            </c:extLst>
          </c:dPt>
          <c:dPt>
            <c:idx val="3"/>
            <c:bubble3D val="0"/>
            <c:spPr>
              <a:solidFill>
                <a:srgbClr val="E1EAF1"/>
              </a:solidFill>
              <a:ln w="19050">
                <a:noFill/>
              </a:ln>
              <a:effectLst/>
            </c:spPr>
            <c:extLst>
              <c:ext xmlns:c16="http://schemas.microsoft.com/office/drawing/2014/chart" uri="{C3380CC4-5D6E-409C-BE32-E72D297353CC}">
                <c16:uniqueId val="{00000007-51BD-4E67-B260-8C4B678F5C32}"/>
              </c:ext>
            </c:extLst>
          </c:dPt>
          <c:dLbls>
            <c:dLbl>
              <c:idx val="0"/>
              <c:layout>
                <c:manualLayout>
                  <c:x val="6.2500017087712328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1BD-4E67-B260-8C4B678F5C32}"/>
                </c:ext>
              </c:extLst>
            </c:dLbl>
            <c:numFmt formatCode="General" sourceLinked="0"/>
            <c:spPr>
              <a:noFill/>
              <a:ln>
                <a:noFill/>
              </a:ln>
              <a:effectLst/>
            </c:spPr>
            <c:txPr>
              <a:bodyPr rot="-900000" spcFirstLastPara="1" vertOverflow="ellipsis" wrap="square" lIns="38100" tIns="19050" rIns="38100" bIns="19050" anchor="ctr" anchorCtr="0">
                <a:spAutoFit/>
              </a:bodyPr>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Calculations!$E$9:$E$13</c:f>
              <c:strCache>
                <c:ptCount val="4"/>
                <c:pt idx="0">
                  <c:v>East</c:v>
                </c:pt>
                <c:pt idx="1">
                  <c:v>North</c:v>
                </c:pt>
                <c:pt idx="2">
                  <c:v>South</c:v>
                </c:pt>
                <c:pt idx="3">
                  <c:v>West</c:v>
                </c:pt>
              </c:strCache>
            </c:strRef>
          </c:cat>
          <c:val>
            <c:numRef>
              <c:f>Calculations!$F$9:$F$13</c:f>
              <c:numCache>
                <c:formatCode>\$#,##0;\(\$#,##0\);\$#,##0</c:formatCode>
                <c:ptCount val="4"/>
                <c:pt idx="0">
                  <c:v>54760651.210000008</c:v>
                </c:pt>
                <c:pt idx="1">
                  <c:v>67489534.970499963</c:v>
                </c:pt>
                <c:pt idx="2">
                  <c:v>70606722.244000033</c:v>
                </c:pt>
                <c:pt idx="3">
                  <c:v>54872528.375000037</c:v>
                </c:pt>
              </c:numCache>
            </c:numRef>
          </c:val>
          <c:extLst>
            <c:ext xmlns:c16="http://schemas.microsoft.com/office/drawing/2014/chart" uri="{C3380CC4-5D6E-409C-BE32-E72D297353CC}">
              <c16:uniqueId val="{00000008-51BD-4E67-B260-8C4B678F5C32}"/>
            </c:ext>
          </c:extLst>
        </c:ser>
        <c:dLbls>
          <c:showLegendKey val="0"/>
          <c:showVal val="1"/>
          <c:showCatName val="0"/>
          <c:showSerName val="0"/>
          <c:showPercent val="0"/>
          <c:showBubbleSize val="0"/>
          <c:showLeaderLines val="0"/>
        </c:dLbls>
        <c:firstSliceAng val="0"/>
        <c:holeSize val="65"/>
      </c:doughnutChart>
      <c:spPr>
        <a:noFill/>
        <a:ln>
          <a:noFill/>
        </a:ln>
        <a:effectLst/>
      </c:spPr>
    </c:plotArea>
    <c:legend>
      <c:legendPos val="r"/>
      <c:legendEntry>
        <c:idx val="1"/>
        <c:txPr>
          <a:bodyPr rot="0" spcFirstLastPara="1" vertOverflow="ellipsis" vert="horz" wrap="square" anchor="ctr" anchorCtr="1"/>
          <a:lstStyle/>
          <a:p>
            <a:pPr marL="0" indent="0" algn="ctr">
              <a:defRPr lang="en-US" sz="1200" b="0" i="0" u="none" strike="noStrike" kern="1200" baseline="0">
                <a:solidFill>
                  <a:schemeClr val="tx1">
                    <a:lumMod val="50000"/>
                    <a:lumOff val="50000"/>
                  </a:schemeClr>
                </a:solidFill>
                <a:latin typeface="+mn-lt"/>
                <a:ea typeface="+mn-ea"/>
                <a:cs typeface="+mn-cs"/>
              </a:defRPr>
            </a:pPr>
            <a:endParaRPr lang="en-US"/>
          </a:p>
        </c:txPr>
      </c:legendEntry>
      <c:layout>
        <c:manualLayout>
          <c:xMode val="edge"/>
          <c:yMode val="edge"/>
          <c:x val="0.79747697875026757"/>
          <c:y val="0.32020426414404196"/>
          <c:w val="0.18168968222049489"/>
          <c:h val="0.41286390947544682"/>
        </c:manualLayout>
      </c:layout>
      <c:overlay val="0"/>
      <c:spPr>
        <a:noFill/>
        <a:ln>
          <a:noFill/>
        </a:ln>
        <a:effectLst/>
      </c:spPr>
      <c:txPr>
        <a:bodyPr rot="0" spcFirstLastPara="1" vertOverflow="ellipsis" vert="horz" wrap="square" anchor="ctr" anchorCtr="1"/>
        <a:lstStyle/>
        <a:p>
          <a:pPr marL="0" indent="0">
            <a:defRPr lang="en-US" sz="12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9B70101D-53BB-4400-B9B4-15077F919C9D}">
          <cx:tx>
            <cx:txData>
              <cx:f>_xlchart.v2.4</cx:f>
              <cx:v>Count OrderID</cx:v>
            </cx:txData>
          </cx:tx>
          <cx:spPr>
            <a:solidFill>
              <a:srgbClr val="DBE4E9"/>
            </a:solidFill>
          </cx:spPr>
          <cx:dataPt idx="1">
            <cx:spPr>
              <a:solidFill>
                <a:srgbClr val="DBE4E9">
                  <a:alpha val="91000"/>
                </a:srgbClr>
              </a:solidFill>
            </cx:spPr>
          </cx:dataPt>
          <cx:dataPt idx="2">
            <cx:spPr>
              <a:solidFill>
                <a:srgbClr val="DBE4E9">
                  <a:alpha val="69000"/>
                </a:srgbClr>
              </a:solidFill>
            </cx:spPr>
          </cx:dataPt>
          <cx:dataPt idx="3">
            <cx:spPr>
              <a:solidFill>
                <a:srgbClr val="DBE4E9">
                  <a:alpha val="54000"/>
                </a:srgbClr>
              </a:solidFill>
            </cx:spPr>
          </cx:dataPt>
          <cx:dataLabels>
            <cx:txPr>
              <a:bodyPr spcFirstLastPara="1" vertOverflow="ellipsis" horzOverflow="overflow" wrap="square" lIns="0" tIns="0" rIns="0" bIns="0" anchor="ctr" anchorCtr="1"/>
              <a:lstStyle/>
              <a:p>
                <a:pPr algn="ctr" rtl="0">
                  <a:defRPr lang="en-US" sz="1200" b="0" i="0" u="none" strike="noStrike" kern="1200" baseline="0">
                    <a:solidFill>
                      <a:schemeClr val="tx1">
                        <a:lumMod val="50000"/>
                        <a:lumOff val="50000"/>
                      </a:schemeClr>
                    </a:solidFill>
                    <a:latin typeface="+mn-lt"/>
                    <a:ea typeface="+mn-ea"/>
                    <a:cs typeface="+mn-cs"/>
                  </a:defRPr>
                </a:pPr>
                <a:endParaRPr lang="en-US" sz="1200" b="0" i="0" u="none" strike="noStrike" kern="1200" baseline="0">
                  <a:solidFill>
                    <a:schemeClr val="tx1">
                      <a:lumMod val="50000"/>
                      <a:lumOff val="50000"/>
                    </a:schemeClr>
                  </a:solidFill>
                  <a:latin typeface="+mn-lt"/>
                  <a:ea typeface="+mn-ea"/>
                  <a:cs typeface="+mn-cs"/>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lang="en-US" sz="1200" b="0" i="0" u="none" strike="noStrike" kern="1200" baseline="0">
                <a:solidFill>
                  <a:schemeClr val="tx1">
                    <a:lumMod val="50000"/>
                    <a:lumOff val="50000"/>
                  </a:schemeClr>
                </a:solidFill>
                <a:latin typeface="+mn-lt"/>
                <a:ea typeface="+mn-ea"/>
                <a:cs typeface="+mn-cs"/>
              </a:defRPr>
            </a:pPr>
            <a:endParaRPr lang="en-US" sz="1200" b="0" i="0" u="none" strike="noStrike" kern="1200" baseline="0">
              <a:solidFill>
                <a:schemeClr val="tx1">
                  <a:lumMod val="50000"/>
                  <a:lumOff val="50000"/>
                </a:schemeClr>
              </a:solidFill>
              <a:latin typeface="+mn-lt"/>
              <a:ea typeface="+mn-ea"/>
              <a:cs typeface="+mn-cs"/>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microsoft.com/office/2014/relationships/chartEx" Target="../charts/chartEx1.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10</xdr:col>
      <xdr:colOff>327660</xdr:colOff>
      <xdr:row>2</xdr:row>
      <xdr:rowOff>129541</xdr:rowOff>
    </xdr:from>
    <xdr:to>
      <xdr:col>12</xdr:col>
      <xdr:colOff>7620</xdr:colOff>
      <xdr:row>6</xdr:row>
      <xdr:rowOff>22860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B6B7367B-B480-802E-25A8-1B2E2BBED9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05800" y="495301"/>
              <a:ext cx="182880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411480</xdr:colOff>
      <xdr:row>8</xdr:row>
      <xdr:rowOff>22860</xdr:rowOff>
    </xdr:from>
    <xdr:to>
      <xdr:col>17</xdr:col>
      <xdr:colOff>609600</xdr:colOff>
      <xdr:row>21</xdr:row>
      <xdr:rowOff>112395</xdr:rowOff>
    </xdr:to>
    <mc:AlternateContent xmlns:mc="http://schemas.openxmlformats.org/markup-compatibility/2006">
      <mc:Choice xmlns:a14="http://schemas.microsoft.com/office/drawing/2010/main" Requires="a14">
        <xdr:graphicFrame macro="">
          <xdr:nvGraphicFramePr>
            <xdr:cNvPr id="12" name="City">
              <a:extLst>
                <a:ext uri="{FF2B5EF4-FFF2-40B4-BE49-F238E27FC236}">
                  <a16:creationId xmlns:a16="http://schemas.microsoft.com/office/drawing/2014/main" id="{F149E264-A332-8D00-7250-F60FE3C1F20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710160" y="1531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548640</xdr:colOff>
      <xdr:row>6</xdr:row>
      <xdr:rowOff>60961</xdr:rowOff>
    </xdr:from>
    <xdr:to>
      <xdr:col>11</xdr:col>
      <xdr:colOff>655320</xdr:colOff>
      <xdr:row>8</xdr:row>
      <xdr:rowOff>114300</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09578CF7-61B5-864B-7B07-F7B3AA3694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301740" y="1203961"/>
              <a:ext cx="3421380" cy="419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18</xdr:row>
      <xdr:rowOff>0</xdr:rowOff>
    </xdr:from>
    <xdr:to>
      <xdr:col>16</xdr:col>
      <xdr:colOff>304800</xdr:colOff>
      <xdr:row>33</xdr:row>
      <xdr:rowOff>0</xdr:rowOff>
    </xdr:to>
    <xdr:graphicFrame macro="">
      <xdr:nvGraphicFramePr>
        <xdr:cNvPr id="5" name="Chart 4">
          <a:extLst>
            <a:ext uri="{FF2B5EF4-FFF2-40B4-BE49-F238E27FC236}">
              <a16:creationId xmlns:a16="http://schemas.microsoft.com/office/drawing/2014/main" id="{C397E83F-14DA-4959-9CE0-68D9311B4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35</xdr:row>
      <xdr:rowOff>0</xdr:rowOff>
    </xdr:from>
    <xdr:to>
      <xdr:col>8</xdr:col>
      <xdr:colOff>304800</xdr:colOff>
      <xdr:row>50</xdr:row>
      <xdr:rowOff>0</xdr:rowOff>
    </xdr:to>
    <xdr:graphicFrame macro="">
      <xdr:nvGraphicFramePr>
        <xdr:cNvPr id="6" name="Chart 5">
          <a:extLst>
            <a:ext uri="{FF2B5EF4-FFF2-40B4-BE49-F238E27FC236}">
              <a16:creationId xmlns:a16="http://schemas.microsoft.com/office/drawing/2014/main" id="{9CD9A9EB-F9AF-4BA0-855F-F8A775A6C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108859</xdr:colOff>
      <xdr:row>1</xdr:row>
      <xdr:rowOff>131720</xdr:rowOff>
    </xdr:from>
    <xdr:to>
      <xdr:col>29</xdr:col>
      <xdr:colOff>228600</xdr:colOff>
      <xdr:row>39</xdr:row>
      <xdr:rowOff>47548</xdr:rowOff>
    </xdr:to>
    <xdr:sp macro="" textlink="">
      <xdr:nvSpPr>
        <xdr:cNvPr id="2" name="Rectangle: Rounded Corners 1">
          <a:extLst>
            <a:ext uri="{FF2B5EF4-FFF2-40B4-BE49-F238E27FC236}">
              <a16:creationId xmlns:a16="http://schemas.microsoft.com/office/drawing/2014/main" id="{D361A3B8-E71E-216D-C759-F7D3EA5B708E}"/>
            </a:ext>
          </a:extLst>
        </xdr:cNvPr>
        <xdr:cNvSpPr/>
      </xdr:nvSpPr>
      <xdr:spPr>
        <a:xfrm>
          <a:off x="3156859" y="316777"/>
          <a:ext cx="14750141" cy="6948000"/>
        </a:xfrm>
        <a:prstGeom prst="roundRect">
          <a:avLst>
            <a:gd name="adj" fmla="val 3036"/>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326573</xdr:colOff>
      <xdr:row>3</xdr:row>
      <xdr:rowOff>1</xdr:rowOff>
    </xdr:from>
    <xdr:to>
      <xdr:col>28</xdr:col>
      <xdr:colOff>587829</xdr:colOff>
      <xdr:row>37</xdr:row>
      <xdr:rowOff>141514</xdr:rowOff>
    </xdr:to>
    <xdr:sp macro="" textlink="">
      <xdr:nvSpPr>
        <xdr:cNvPr id="3" name="Rectangle: Rounded Corners 2">
          <a:extLst>
            <a:ext uri="{FF2B5EF4-FFF2-40B4-BE49-F238E27FC236}">
              <a16:creationId xmlns:a16="http://schemas.microsoft.com/office/drawing/2014/main" id="{F94C196E-1416-B5C3-DA33-B8800E49929D}"/>
            </a:ext>
          </a:extLst>
        </xdr:cNvPr>
        <xdr:cNvSpPr/>
      </xdr:nvSpPr>
      <xdr:spPr>
        <a:xfrm>
          <a:off x="3374573" y="555172"/>
          <a:ext cx="14282056" cy="6433456"/>
        </a:xfrm>
        <a:prstGeom prst="roundRect">
          <a:avLst>
            <a:gd name="adj" fmla="val 2201"/>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76200</xdr:colOff>
      <xdr:row>8</xdr:row>
      <xdr:rowOff>119743</xdr:rowOff>
    </xdr:from>
    <xdr:to>
      <xdr:col>13</xdr:col>
      <xdr:colOff>283029</xdr:colOff>
      <xdr:row>15</xdr:row>
      <xdr:rowOff>174172</xdr:rowOff>
    </xdr:to>
    <xdr:sp macro="" textlink="">
      <xdr:nvSpPr>
        <xdr:cNvPr id="4" name="Rectangle: Rounded Corners 3">
          <a:extLst>
            <a:ext uri="{FF2B5EF4-FFF2-40B4-BE49-F238E27FC236}">
              <a16:creationId xmlns:a16="http://schemas.microsoft.com/office/drawing/2014/main" id="{1415CCF7-170A-7AEE-31B8-0530DA9ACC6D}"/>
            </a:ext>
          </a:extLst>
        </xdr:cNvPr>
        <xdr:cNvSpPr/>
      </xdr:nvSpPr>
      <xdr:spPr>
        <a:xfrm>
          <a:off x="3733800" y="1600200"/>
          <a:ext cx="4474029" cy="1349829"/>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195944</xdr:colOff>
      <xdr:row>9</xdr:row>
      <xdr:rowOff>54426</xdr:rowOff>
    </xdr:from>
    <xdr:to>
      <xdr:col>8</xdr:col>
      <xdr:colOff>304801</xdr:colOff>
      <xdr:row>15</xdr:row>
      <xdr:rowOff>10883</xdr:rowOff>
    </xdr:to>
    <xdr:sp macro="" textlink="">
      <xdr:nvSpPr>
        <xdr:cNvPr id="6" name="Rectangle: Rounded Corners 5">
          <a:extLst>
            <a:ext uri="{FF2B5EF4-FFF2-40B4-BE49-F238E27FC236}">
              <a16:creationId xmlns:a16="http://schemas.microsoft.com/office/drawing/2014/main" id="{D3841DBC-1122-4EF7-0B00-B75DBE7D9B41}"/>
            </a:ext>
          </a:extLst>
        </xdr:cNvPr>
        <xdr:cNvSpPr/>
      </xdr:nvSpPr>
      <xdr:spPr>
        <a:xfrm>
          <a:off x="3853544" y="1719940"/>
          <a:ext cx="1328057" cy="1066800"/>
        </a:xfrm>
        <a:prstGeom prst="roundRect">
          <a:avLst/>
        </a:prstGeom>
        <a:solidFill>
          <a:srgbClr val="ECF1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ysClr val="windowText" lastClr="000000"/>
            </a:solidFill>
            <a:latin typeface="+mn-lt"/>
            <a:ea typeface="+mn-ea"/>
            <a:cs typeface="+mn-cs"/>
          </a:endParaRPr>
        </a:p>
      </xdr:txBody>
    </xdr:sp>
    <xdr:clientData/>
  </xdr:twoCellAnchor>
  <xdr:twoCellAnchor>
    <xdr:from>
      <xdr:col>8</xdr:col>
      <xdr:colOff>413656</xdr:colOff>
      <xdr:row>9</xdr:row>
      <xdr:rowOff>54426</xdr:rowOff>
    </xdr:from>
    <xdr:to>
      <xdr:col>10</xdr:col>
      <xdr:colOff>522513</xdr:colOff>
      <xdr:row>15</xdr:row>
      <xdr:rowOff>10883</xdr:rowOff>
    </xdr:to>
    <xdr:sp macro="" textlink="">
      <xdr:nvSpPr>
        <xdr:cNvPr id="7" name="Rectangle: Rounded Corners 6">
          <a:extLst>
            <a:ext uri="{FF2B5EF4-FFF2-40B4-BE49-F238E27FC236}">
              <a16:creationId xmlns:a16="http://schemas.microsoft.com/office/drawing/2014/main" id="{8B24121C-B062-4855-9E48-351A0786B586}"/>
            </a:ext>
          </a:extLst>
        </xdr:cNvPr>
        <xdr:cNvSpPr/>
      </xdr:nvSpPr>
      <xdr:spPr>
        <a:xfrm>
          <a:off x="5290456" y="1719940"/>
          <a:ext cx="1328057" cy="1066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400" b="1" i="0" u="none" strike="noStrike" baseline="0">
            <a:solidFill>
              <a:srgbClr val="385F7C"/>
            </a:solidFill>
            <a:latin typeface="Calibri"/>
            <a:ea typeface="Calibri"/>
            <a:cs typeface="Calibri"/>
          </a:endParaRPr>
        </a:p>
      </xdr:txBody>
    </xdr:sp>
    <xdr:clientData/>
  </xdr:twoCellAnchor>
  <xdr:twoCellAnchor>
    <xdr:from>
      <xdr:col>11</xdr:col>
      <xdr:colOff>21771</xdr:colOff>
      <xdr:row>9</xdr:row>
      <xdr:rowOff>43540</xdr:rowOff>
    </xdr:from>
    <xdr:to>
      <xdr:col>13</xdr:col>
      <xdr:colOff>130628</xdr:colOff>
      <xdr:row>14</xdr:row>
      <xdr:rowOff>185054</xdr:rowOff>
    </xdr:to>
    <xdr:sp macro="" textlink="">
      <xdr:nvSpPr>
        <xdr:cNvPr id="8" name="Rectangle: Rounded Corners 7">
          <a:extLst>
            <a:ext uri="{FF2B5EF4-FFF2-40B4-BE49-F238E27FC236}">
              <a16:creationId xmlns:a16="http://schemas.microsoft.com/office/drawing/2014/main" id="{DFA0A768-E5D3-49C6-9750-88CF090361CB}"/>
            </a:ext>
          </a:extLst>
        </xdr:cNvPr>
        <xdr:cNvSpPr/>
      </xdr:nvSpPr>
      <xdr:spPr>
        <a:xfrm>
          <a:off x="6727371" y="1709054"/>
          <a:ext cx="1328057" cy="1066800"/>
        </a:xfrm>
        <a:prstGeom prst="roundRect">
          <a:avLst/>
        </a:prstGeom>
        <a:solidFill>
          <a:srgbClr val="ECF1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76201</xdr:colOff>
      <xdr:row>16</xdr:row>
      <xdr:rowOff>130629</xdr:rowOff>
    </xdr:from>
    <xdr:to>
      <xdr:col>13</xdr:col>
      <xdr:colOff>293914</xdr:colOff>
      <xdr:row>37</xdr:row>
      <xdr:rowOff>43543</xdr:rowOff>
    </xdr:to>
    <xdr:sp macro="" textlink="">
      <xdr:nvSpPr>
        <xdr:cNvPr id="12" name="Rectangle: Rounded Corners 11">
          <a:extLst>
            <a:ext uri="{FF2B5EF4-FFF2-40B4-BE49-F238E27FC236}">
              <a16:creationId xmlns:a16="http://schemas.microsoft.com/office/drawing/2014/main" id="{E1181B86-DAFC-0492-105E-A53E651D5D9A}"/>
            </a:ext>
          </a:extLst>
        </xdr:cNvPr>
        <xdr:cNvSpPr/>
      </xdr:nvSpPr>
      <xdr:spPr>
        <a:xfrm>
          <a:off x="3733801" y="3091543"/>
          <a:ext cx="4484913" cy="3799114"/>
        </a:xfrm>
        <a:prstGeom prst="roundRect">
          <a:avLst>
            <a:gd name="adj" fmla="val 5831"/>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446315</xdr:colOff>
      <xdr:row>8</xdr:row>
      <xdr:rowOff>97972</xdr:rowOff>
    </xdr:from>
    <xdr:to>
      <xdr:col>22</xdr:col>
      <xdr:colOff>250371</xdr:colOff>
      <xdr:row>22</xdr:row>
      <xdr:rowOff>87086</xdr:rowOff>
    </xdr:to>
    <xdr:sp macro="" textlink="">
      <xdr:nvSpPr>
        <xdr:cNvPr id="13" name="Rectangle: Rounded Corners 12">
          <a:extLst>
            <a:ext uri="{FF2B5EF4-FFF2-40B4-BE49-F238E27FC236}">
              <a16:creationId xmlns:a16="http://schemas.microsoft.com/office/drawing/2014/main" id="{A6F205BD-8FA2-4A9B-A316-D8AF5943AC8D}"/>
            </a:ext>
          </a:extLst>
        </xdr:cNvPr>
        <xdr:cNvSpPr/>
      </xdr:nvSpPr>
      <xdr:spPr>
        <a:xfrm>
          <a:off x="8371115" y="1578429"/>
          <a:ext cx="5290456" cy="2579914"/>
        </a:xfrm>
        <a:prstGeom prst="roundRect">
          <a:avLst>
            <a:gd name="adj" fmla="val 5831"/>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468087</xdr:colOff>
      <xdr:row>23</xdr:row>
      <xdr:rowOff>43543</xdr:rowOff>
    </xdr:from>
    <xdr:to>
      <xdr:col>22</xdr:col>
      <xdr:colOff>272143</xdr:colOff>
      <xdr:row>37</xdr:row>
      <xdr:rowOff>65314</xdr:rowOff>
    </xdr:to>
    <xdr:sp macro="" textlink="">
      <xdr:nvSpPr>
        <xdr:cNvPr id="14" name="Rectangle: Rounded Corners 13">
          <a:extLst>
            <a:ext uri="{FF2B5EF4-FFF2-40B4-BE49-F238E27FC236}">
              <a16:creationId xmlns:a16="http://schemas.microsoft.com/office/drawing/2014/main" id="{E8911630-C47A-49F0-9E29-2845C39AB91A}"/>
            </a:ext>
          </a:extLst>
        </xdr:cNvPr>
        <xdr:cNvSpPr/>
      </xdr:nvSpPr>
      <xdr:spPr>
        <a:xfrm>
          <a:off x="8392887" y="4299857"/>
          <a:ext cx="5290456" cy="2612571"/>
        </a:xfrm>
        <a:prstGeom prst="roundRect">
          <a:avLst>
            <a:gd name="adj" fmla="val 5831"/>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381001</xdr:colOff>
      <xdr:row>8</xdr:row>
      <xdr:rowOff>97971</xdr:rowOff>
    </xdr:from>
    <xdr:to>
      <xdr:col>28</xdr:col>
      <xdr:colOff>478972</xdr:colOff>
      <xdr:row>37</xdr:row>
      <xdr:rowOff>65313</xdr:rowOff>
    </xdr:to>
    <xdr:sp macro="" textlink="">
      <xdr:nvSpPr>
        <xdr:cNvPr id="15" name="Rectangle: Rounded Corners 14">
          <a:extLst>
            <a:ext uri="{FF2B5EF4-FFF2-40B4-BE49-F238E27FC236}">
              <a16:creationId xmlns:a16="http://schemas.microsoft.com/office/drawing/2014/main" id="{262E35B5-A43A-45DB-86A4-339368062810}"/>
            </a:ext>
          </a:extLst>
        </xdr:cNvPr>
        <xdr:cNvSpPr/>
      </xdr:nvSpPr>
      <xdr:spPr>
        <a:xfrm>
          <a:off x="13792201" y="1578428"/>
          <a:ext cx="3755571" cy="5333999"/>
        </a:xfrm>
        <a:prstGeom prst="roundRect">
          <a:avLst>
            <a:gd name="adj" fmla="val 5831"/>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65314</xdr:colOff>
      <xdr:row>3</xdr:row>
      <xdr:rowOff>152400</xdr:rowOff>
    </xdr:from>
    <xdr:to>
      <xdr:col>14</xdr:col>
      <xdr:colOff>533399</xdr:colOff>
      <xdr:row>6</xdr:row>
      <xdr:rowOff>10885</xdr:rowOff>
    </xdr:to>
    <xdr:sp macro="" textlink="">
      <xdr:nvSpPr>
        <xdr:cNvPr id="16" name="Rectangle 15">
          <a:extLst>
            <a:ext uri="{FF2B5EF4-FFF2-40B4-BE49-F238E27FC236}">
              <a16:creationId xmlns:a16="http://schemas.microsoft.com/office/drawing/2014/main" id="{C0CE1C48-1C9D-10B6-3703-5A515EB21C98}"/>
            </a:ext>
          </a:extLst>
        </xdr:cNvPr>
        <xdr:cNvSpPr/>
      </xdr:nvSpPr>
      <xdr:spPr>
        <a:xfrm>
          <a:off x="3722914" y="707571"/>
          <a:ext cx="5344885" cy="4136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385F7C"/>
              </a:solidFill>
              <a:latin typeface="Lato Black" panose="020F0502020204030203" pitchFamily="34" charset="0"/>
              <a:ea typeface="Lato Black" panose="020F0502020204030203" pitchFamily="34" charset="0"/>
              <a:cs typeface="Lato Black" panose="020F0502020204030203" pitchFamily="34" charset="0"/>
            </a:rPr>
            <a:t>SALES</a:t>
          </a:r>
          <a:r>
            <a:rPr lang="en-IN" sz="1800" b="1" baseline="0">
              <a:solidFill>
                <a:srgbClr val="385F7C"/>
              </a:solidFill>
              <a:latin typeface="Lato Black" panose="020F0502020204030203" pitchFamily="34" charset="0"/>
              <a:ea typeface="Lato Black" panose="020F0502020204030203" pitchFamily="34" charset="0"/>
              <a:cs typeface="Lato Black" panose="020F0502020204030203" pitchFamily="34" charset="0"/>
            </a:rPr>
            <a:t> PERFORMANCE ANALYSIS OVERVIEW</a:t>
          </a:r>
          <a:endParaRPr lang="en-IN" sz="1800" b="1">
            <a:solidFill>
              <a:srgbClr val="385F7C"/>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217715</xdr:colOff>
      <xdr:row>9</xdr:row>
      <xdr:rowOff>108856</xdr:rowOff>
    </xdr:from>
    <xdr:to>
      <xdr:col>8</xdr:col>
      <xdr:colOff>65315</xdr:colOff>
      <xdr:row>11</xdr:row>
      <xdr:rowOff>43541</xdr:rowOff>
    </xdr:to>
    <xdr:sp macro="" textlink="">
      <xdr:nvSpPr>
        <xdr:cNvPr id="18" name="Rectangle 17">
          <a:extLst>
            <a:ext uri="{FF2B5EF4-FFF2-40B4-BE49-F238E27FC236}">
              <a16:creationId xmlns:a16="http://schemas.microsoft.com/office/drawing/2014/main" id="{61CF1A35-4128-40BC-9FB6-FD3A81FE39D0}"/>
            </a:ext>
          </a:extLst>
        </xdr:cNvPr>
        <xdr:cNvSpPr/>
      </xdr:nvSpPr>
      <xdr:spPr>
        <a:xfrm>
          <a:off x="3875315" y="1774370"/>
          <a:ext cx="10668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tx1">
                  <a:lumMod val="50000"/>
                  <a:lumOff val="50000"/>
                </a:schemeClr>
              </a:solidFill>
              <a:latin typeface="Lato Black" panose="020F0502020204030203" pitchFamily="34" charset="0"/>
              <a:ea typeface="Lato Black" panose="020F0502020204030203" pitchFamily="34" charset="0"/>
              <a:cs typeface="Lato Black" panose="020F0502020204030203" pitchFamily="34" charset="0"/>
            </a:rPr>
            <a:t> Sales</a:t>
          </a:r>
          <a:endParaRPr lang="en-IN" sz="1400" b="1">
            <a:solidFill>
              <a:schemeClr val="tx1">
                <a:lumMod val="50000"/>
                <a:lumOff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130631</xdr:colOff>
      <xdr:row>9</xdr:row>
      <xdr:rowOff>108856</xdr:rowOff>
    </xdr:from>
    <xdr:to>
      <xdr:col>12</xdr:col>
      <xdr:colOff>587831</xdr:colOff>
      <xdr:row>11</xdr:row>
      <xdr:rowOff>43541</xdr:rowOff>
    </xdr:to>
    <xdr:sp macro="" textlink="">
      <xdr:nvSpPr>
        <xdr:cNvPr id="20" name="Rectangle 19">
          <a:extLst>
            <a:ext uri="{FF2B5EF4-FFF2-40B4-BE49-F238E27FC236}">
              <a16:creationId xmlns:a16="http://schemas.microsoft.com/office/drawing/2014/main" id="{0D77AD61-E699-4D87-9A5E-9EEAC09CE9F8}"/>
            </a:ext>
          </a:extLst>
        </xdr:cNvPr>
        <xdr:cNvSpPr/>
      </xdr:nvSpPr>
      <xdr:spPr>
        <a:xfrm>
          <a:off x="6836231" y="1774370"/>
          <a:ext cx="10668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tx1">
                  <a:lumMod val="50000"/>
                  <a:lumOff val="50000"/>
                </a:schemeClr>
              </a:solidFill>
              <a:latin typeface="Lato Black" panose="020F0502020204030203" pitchFamily="34" charset="0"/>
              <a:ea typeface="Lato Black" panose="020F0502020204030203" pitchFamily="34" charset="0"/>
              <a:cs typeface="Lato Black" panose="020F0502020204030203" pitchFamily="34" charset="0"/>
            </a:rPr>
            <a:t> Orders</a:t>
          </a:r>
          <a:endParaRPr lang="en-IN" sz="1400" b="1">
            <a:solidFill>
              <a:schemeClr val="tx1">
                <a:lumMod val="50000"/>
                <a:lumOff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283030</xdr:colOff>
      <xdr:row>12</xdr:row>
      <xdr:rowOff>43542</xdr:rowOff>
    </xdr:from>
    <xdr:to>
      <xdr:col>8</xdr:col>
      <xdr:colOff>130630</xdr:colOff>
      <xdr:row>13</xdr:row>
      <xdr:rowOff>163285</xdr:rowOff>
    </xdr:to>
    <xdr:sp macro="" textlink="">
      <xdr:nvSpPr>
        <xdr:cNvPr id="21" name="Rectangle 20">
          <a:extLst>
            <a:ext uri="{FF2B5EF4-FFF2-40B4-BE49-F238E27FC236}">
              <a16:creationId xmlns:a16="http://schemas.microsoft.com/office/drawing/2014/main" id="{ED6FC17F-EE4F-41D0-9757-F73CA3B7521E}"/>
            </a:ext>
          </a:extLst>
        </xdr:cNvPr>
        <xdr:cNvSpPr/>
      </xdr:nvSpPr>
      <xdr:spPr>
        <a:xfrm>
          <a:off x="3940630" y="2264228"/>
          <a:ext cx="10668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tx1">
                  <a:lumMod val="50000"/>
                  <a:lumOff val="50000"/>
                </a:schemeClr>
              </a:solidFill>
              <a:latin typeface="Lato Black" panose="020F0502020204030203" pitchFamily="34" charset="0"/>
              <a:ea typeface="Lato Black" panose="020F0502020204030203" pitchFamily="34" charset="0"/>
              <a:cs typeface="Lato Black" panose="020F0502020204030203" pitchFamily="34" charset="0"/>
            </a:rPr>
            <a:t> </a:t>
          </a:r>
          <a:endParaRPr lang="en-IN" sz="1400" b="1">
            <a:solidFill>
              <a:schemeClr val="tx1">
                <a:lumMod val="50000"/>
                <a:lumOff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413659</xdr:colOff>
      <xdr:row>12</xdr:row>
      <xdr:rowOff>54428</xdr:rowOff>
    </xdr:from>
    <xdr:to>
      <xdr:col>10</xdr:col>
      <xdr:colOff>261259</xdr:colOff>
      <xdr:row>13</xdr:row>
      <xdr:rowOff>174171</xdr:rowOff>
    </xdr:to>
    <xdr:sp macro="" textlink="KPI2">
      <xdr:nvSpPr>
        <xdr:cNvPr id="22" name="Rectangle 21">
          <a:extLst>
            <a:ext uri="{FF2B5EF4-FFF2-40B4-BE49-F238E27FC236}">
              <a16:creationId xmlns:a16="http://schemas.microsoft.com/office/drawing/2014/main" id="{EF86C66A-9937-494B-BB6C-C7A0C9FFAEDB}"/>
            </a:ext>
          </a:extLst>
        </xdr:cNvPr>
        <xdr:cNvSpPr/>
      </xdr:nvSpPr>
      <xdr:spPr>
        <a:xfrm>
          <a:off x="5290459" y="2275114"/>
          <a:ext cx="10668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FE4AF96-C69C-4601-8CA5-8F69E3BCDD75}" type="TxLink">
            <a:rPr lang="en-US" sz="1100" b="0" i="0" u="none" strike="noStrike" baseline="0">
              <a:solidFill>
                <a:srgbClr val="000000"/>
              </a:solidFill>
              <a:latin typeface="Calibri"/>
              <a:ea typeface="Calibri"/>
              <a:cs typeface="Calibri"/>
            </a:rPr>
            <a:t> </a:t>
          </a:fld>
          <a:endParaRPr lang="en-IN" sz="1400" b="1">
            <a:solidFill>
              <a:schemeClr val="tx1">
                <a:lumMod val="50000"/>
                <a:lumOff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2</xdr:colOff>
      <xdr:row>12</xdr:row>
      <xdr:rowOff>65313</xdr:rowOff>
    </xdr:from>
    <xdr:to>
      <xdr:col>12</xdr:col>
      <xdr:colOff>457202</xdr:colOff>
      <xdr:row>13</xdr:row>
      <xdr:rowOff>185056</xdr:rowOff>
    </xdr:to>
    <xdr:sp macro="" textlink="KPI2">
      <xdr:nvSpPr>
        <xdr:cNvPr id="23" name="Rectangle 22">
          <a:extLst>
            <a:ext uri="{FF2B5EF4-FFF2-40B4-BE49-F238E27FC236}">
              <a16:creationId xmlns:a16="http://schemas.microsoft.com/office/drawing/2014/main" id="{DE38B6F4-2898-4A4A-B9E8-E0F0B2258046}"/>
            </a:ext>
          </a:extLst>
        </xdr:cNvPr>
        <xdr:cNvSpPr/>
      </xdr:nvSpPr>
      <xdr:spPr>
        <a:xfrm>
          <a:off x="6705602" y="2285999"/>
          <a:ext cx="10668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3281812-78A8-48E0-ACB6-45FD0836821A}" type="TxLink">
            <a:rPr lang="en-US" sz="1100" b="0" i="0" u="none" strike="noStrike" baseline="0">
              <a:solidFill>
                <a:srgbClr val="000000"/>
              </a:solidFill>
              <a:latin typeface="Calibri"/>
              <a:ea typeface="Calibri"/>
              <a:cs typeface="Calibri"/>
            </a:rPr>
            <a:t> </a:t>
          </a:fld>
          <a:endParaRPr lang="en-IN" sz="1400" b="1">
            <a:solidFill>
              <a:schemeClr val="tx1">
                <a:lumMod val="50000"/>
                <a:lumOff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283030</xdr:colOff>
      <xdr:row>12</xdr:row>
      <xdr:rowOff>10885</xdr:rowOff>
    </xdr:from>
    <xdr:to>
      <xdr:col>8</xdr:col>
      <xdr:colOff>130630</xdr:colOff>
      <xdr:row>13</xdr:row>
      <xdr:rowOff>130628</xdr:rowOff>
    </xdr:to>
    <xdr:sp macro="" textlink="Dashboard!$B$5">
      <xdr:nvSpPr>
        <xdr:cNvPr id="24" name="Rectangle 23">
          <a:extLst>
            <a:ext uri="{FF2B5EF4-FFF2-40B4-BE49-F238E27FC236}">
              <a16:creationId xmlns:a16="http://schemas.microsoft.com/office/drawing/2014/main" id="{4C64EF01-E5F1-4DA2-A44A-52F10F0CA491}"/>
            </a:ext>
          </a:extLst>
        </xdr:cNvPr>
        <xdr:cNvSpPr/>
      </xdr:nvSpPr>
      <xdr:spPr>
        <a:xfrm>
          <a:off x="3940630" y="2231571"/>
          <a:ext cx="10668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87DDDA-0F60-478F-84A1-C2725B0FA712}" type="TxLink">
            <a:rPr lang="en-US" sz="1100" b="0" i="0" u="none" strike="noStrike" baseline="0">
              <a:solidFill>
                <a:srgbClr val="000000"/>
              </a:solidFill>
              <a:latin typeface="Calibri"/>
              <a:ea typeface="Calibri"/>
              <a:cs typeface="Calibri"/>
            </a:rPr>
            <a:t> </a:t>
          </a:fld>
          <a:endParaRPr lang="en-IN" sz="1400" b="1">
            <a:solidFill>
              <a:schemeClr val="tx1">
                <a:lumMod val="50000"/>
                <a:lumOff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381002</xdr:colOff>
      <xdr:row>12</xdr:row>
      <xdr:rowOff>97971</xdr:rowOff>
    </xdr:from>
    <xdr:to>
      <xdr:col>8</xdr:col>
      <xdr:colOff>228602</xdr:colOff>
      <xdr:row>14</xdr:row>
      <xdr:rowOff>32657</xdr:rowOff>
    </xdr:to>
    <xdr:sp macro="" textlink="Dashboard!$B$5">
      <xdr:nvSpPr>
        <xdr:cNvPr id="25" name="Rectangle 24">
          <a:extLst>
            <a:ext uri="{FF2B5EF4-FFF2-40B4-BE49-F238E27FC236}">
              <a16:creationId xmlns:a16="http://schemas.microsoft.com/office/drawing/2014/main" id="{5899935B-5E19-4E88-8226-6E306D758F6E}"/>
            </a:ext>
          </a:extLst>
        </xdr:cNvPr>
        <xdr:cNvSpPr/>
      </xdr:nvSpPr>
      <xdr:spPr>
        <a:xfrm>
          <a:off x="4038602" y="2318657"/>
          <a:ext cx="10668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7E396F6-F443-439E-8F52-3D1109281C6F}" type="TxLink">
            <a:rPr lang="en-US" sz="1100" b="0" i="0" u="none" strike="noStrike">
              <a:solidFill>
                <a:schemeClr val="accent2">
                  <a:lumMod val="75000"/>
                </a:schemeClr>
              </a:solidFill>
              <a:latin typeface="Calibri"/>
              <a:ea typeface="Calibri"/>
              <a:cs typeface="Calibri"/>
            </a:rPr>
            <a:t> </a:t>
          </a:fld>
          <a:endParaRPr lang="en-IN" sz="1400" b="1">
            <a:solidFill>
              <a:schemeClr val="accent2">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283030</xdr:colOff>
      <xdr:row>11</xdr:row>
      <xdr:rowOff>141513</xdr:rowOff>
    </xdr:from>
    <xdr:to>
      <xdr:col>8</xdr:col>
      <xdr:colOff>130630</xdr:colOff>
      <xdr:row>13</xdr:row>
      <xdr:rowOff>76199</xdr:rowOff>
    </xdr:to>
    <xdr:sp macro="" textlink="sales">
      <xdr:nvSpPr>
        <xdr:cNvPr id="27" name="Rectangle 26">
          <a:extLst>
            <a:ext uri="{FF2B5EF4-FFF2-40B4-BE49-F238E27FC236}">
              <a16:creationId xmlns:a16="http://schemas.microsoft.com/office/drawing/2014/main" id="{22A971FC-54B1-4B02-B770-E610303C32B1}"/>
            </a:ext>
          </a:extLst>
        </xdr:cNvPr>
        <xdr:cNvSpPr/>
      </xdr:nvSpPr>
      <xdr:spPr>
        <a:xfrm>
          <a:off x="3940630" y="2177142"/>
          <a:ext cx="10668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47F8E5B-05F5-4E6F-AEC8-DB6ADDF0F14E}" type="TxLink">
            <a:rPr lang="en-US" sz="1600" b="1" i="0" u="none" strike="noStrike" baseline="0">
              <a:solidFill>
                <a:srgbClr val="385F7C"/>
              </a:solidFill>
              <a:latin typeface="Calibri"/>
              <a:ea typeface="Calibri"/>
              <a:cs typeface="Calibri"/>
            </a:rPr>
            <a:pPr marL="0" indent="0" algn="ctr"/>
            <a:t>$ 247.73 M</a:t>
          </a:fld>
          <a:endParaRPr lang="en-IN" sz="1600" b="1" i="0" u="none" strike="noStrike" baseline="0">
            <a:solidFill>
              <a:srgbClr val="385F7C"/>
            </a:solidFill>
            <a:latin typeface="Calibri"/>
            <a:ea typeface="Calibri"/>
            <a:cs typeface="Calibri"/>
          </a:endParaRPr>
        </a:p>
      </xdr:txBody>
    </xdr:sp>
    <xdr:clientData/>
  </xdr:twoCellAnchor>
  <xdr:twoCellAnchor>
    <xdr:from>
      <xdr:col>11</xdr:col>
      <xdr:colOff>119744</xdr:colOff>
      <xdr:row>11</xdr:row>
      <xdr:rowOff>141513</xdr:rowOff>
    </xdr:from>
    <xdr:to>
      <xdr:col>12</xdr:col>
      <xdr:colOff>576944</xdr:colOff>
      <xdr:row>13</xdr:row>
      <xdr:rowOff>76199</xdr:rowOff>
    </xdr:to>
    <xdr:sp macro="" textlink="order">
      <xdr:nvSpPr>
        <xdr:cNvPr id="29" name="Rectangle 28">
          <a:extLst>
            <a:ext uri="{FF2B5EF4-FFF2-40B4-BE49-F238E27FC236}">
              <a16:creationId xmlns:a16="http://schemas.microsoft.com/office/drawing/2014/main" id="{AD847350-7EF5-4647-9946-A1E252C5CEF0}"/>
            </a:ext>
          </a:extLst>
        </xdr:cNvPr>
        <xdr:cNvSpPr/>
      </xdr:nvSpPr>
      <xdr:spPr>
        <a:xfrm>
          <a:off x="6825344" y="2177142"/>
          <a:ext cx="10668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C459C347-0D1E-401B-B14A-92776018BEE8}" type="TxLink">
            <a:rPr lang="en-US" sz="1600" b="1" i="0" u="none" strike="noStrike" baseline="0">
              <a:solidFill>
                <a:srgbClr val="385F7C"/>
              </a:solidFill>
              <a:latin typeface="Calibri"/>
              <a:ea typeface="Calibri"/>
              <a:cs typeface="Calibri"/>
            </a:rPr>
            <a:pPr marL="0" indent="0" algn="ctr"/>
            <a:t>1215</a:t>
          </a:fld>
          <a:endParaRPr lang="en-IN" sz="1600" b="1" i="0" u="none" strike="noStrike" baseline="0">
            <a:solidFill>
              <a:srgbClr val="385F7C"/>
            </a:solidFill>
            <a:latin typeface="Calibri"/>
            <a:ea typeface="Calibri"/>
            <a:cs typeface="Calibri"/>
          </a:endParaRPr>
        </a:p>
      </xdr:txBody>
    </xdr:sp>
    <xdr:clientData/>
  </xdr:twoCellAnchor>
  <xdr:twoCellAnchor>
    <xdr:from>
      <xdr:col>8</xdr:col>
      <xdr:colOff>402772</xdr:colOff>
      <xdr:row>9</xdr:row>
      <xdr:rowOff>54426</xdr:rowOff>
    </xdr:from>
    <xdr:to>
      <xdr:col>10</xdr:col>
      <xdr:colOff>511629</xdr:colOff>
      <xdr:row>15</xdr:row>
      <xdr:rowOff>10883</xdr:rowOff>
    </xdr:to>
    <xdr:sp macro="" textlink="">
      <xdr:nvSpPr>
        <xdr:cNvPr id="31" name="Rectangle: Rounded Corners 30">
          <a:extLst>
            <a:ext uri="{FF2B5EF4-FFF2-40B4-BE49-F238E27FC236}">
              <a16:creationId xmlns:a16="http://schemas.microsoft.com/office/drawing/2014/main" id="{98ECABD6-8A71-4D4B-A3A9-6026B52A4E2C}"/>
            </a:ext>
          </a:extLst>
        </xdr:cNvPr>
        <xdr:cNvSpPr/>
      </xdr:nvSpPr>
      <xdr:spPr>
        <a:xfrm>
          <a:off x="5279572" y="1719940"/>
          <a:ext cx="1328057" cy="1066800"/>
        </a:xfrm>
        <a:prstGeom prst="roundRect">
          <a:avLst/>
        </a:prstGeom>
        <a:solidFill>
          <a:srgbClr val="ECF1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ysClr val="windowText" lastClr="000000"/>
            </a:solidFill>
            <a:latin typeface="+mn-lt"/>
            <a:ea typeface="+mn-ea"/>
            <a:cs typeface="+mn-cs"/>
          </a:endParaRPr>
        </a:p>
      </xdr:txBody>
    </xdr:sp>
    <xdr:clientData/>
  </xdr:twoCellAnchor>
  <xdr:twoCellAnchor>
    <xdr:from>
      <xdr:col>8</xdr:col>
      <xdr:colOff>424543</xdr:colOff>
      <xdr:row>9</xdr:row>
      <xdr:rowOff>108856</xdr:rowOff>
    </xdr:from>
    <xdr:to>
      <xdr:col>10</xdr:col>
      <xdr:colOff>272143</xdr:colOff>
      <xdr:row>11</xdr:row>
      <xdr:rowOff>43541</xdr:rowOff>
    </xdr:to>
    <xdr:sp macro="" textlink="">
      <xdr:nvSpPr>
        <xdr:cNvPr id="32" name="Rectangle 31">
          <a:extLst>
            <a:ext uri="{FF2B5EF4-FFF2-40B4-BE49-F238E27FC236}">
              <a16:creationId xmlns:a16="http://schemas.microsoft.com/office/drawing/2014/main" id="{3FA1D90D-FEA4-4D5E-9342-DAEB56CA29D1}"/>
            </a:ext>
          </a:extLst>
        </xdr:cNvPr>
        <xdr:cNvSpPr/>
      </xdr:nvSpPr>
      <xdr:spPr>
        <a:xfrm>
          <a:off x="5301343" y="1774370"/>
          <a:ext cx="10668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tx1">
                  <a:lumMod val="50000"/>
                  <a:lumOff val="50000"/>
                </a:schemeClr>
              </a:solidFill>
              <a:latin typeface="Lato Black" panose="020F0502020204030203" pitchFamily="34" charset="0"/>
              <a:ea typeface="Lato Black" panose="020F0502020204030203" pitchFamily="34" charset="0"/>
              <a:cs typeface="Lato Black" panose="020F0502020204030203" pitchFamily="34" charset="0"/>
            </a:rPr>
            <a:t> Quantity</a:t>
          </a:r>
          <a:endParaRPr lang="en-IN" sz="1400" b="1">
            <a:solidFill>
              <a:schemeClr val="tx1">
                <a:lumMod val="50000"/>
                <a:lumOff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489858</xdr:colOff>
      <xdr:row>11</xdr:row>
      <xdr:rowOff>141513</xdr:rowOff>
    </xdr:from>
    <xdr:to>
      <xdr:col>10</xdr:col>
      <xdr:colOff>337458</xdr:colOff>
      <xdr:row>13</xdr:row>
      <xdr:rowOff>76199</xdr:rowOff>
    </xdr:to>
    <xdr:sp macro="" textlink="quantity">
      <xdr:nvSpPr>
        <xdr:cNvPr id="33" name="Rectangle 32">
          <a:extLst>
            <a:ext uri="{FF2B5EF4-FFF2-40B4-BE49-F238E27FC236}">
              <a16:creationId xmlns:a16="http://schemas.microsoft.com/office/drawing/2014/main" id="{4B0CB6D5-6B95-4064-A845-3A7169319D90}"/>
            </a:ext>
          </a:extLst>
        </xdr:cNvPr>
        <xdr:cNvSpPr/>
      </xdr:nvSpPr>
      <xdr:spPr>
        <a:xfrm>
          <a:off x="5366658" y="2177142"/>
          <a:ext cx="10668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82F76F9B-D19E-4ADD-9AA6-EC2681D7E51A}" type="TxLink">
            <a:rPr lang="en-US" sz="1600" b="1" i="0" u="none" strike="noStrike" baseline="0">
              <a:solidFill>
                <a:srgbClr val="385F7C"/>
              </a:solidFill>
              <a:latin typeface="Calibri"/>
              <a:ea typeface="Calibri"/>
              <a:cs typeface="Calibri"/>
            </a:rPr>
            <a:pPr marL="0" indent="0" algn="ctr"/>
            <a:t>9760</a:t>
          </a:fld>
          <a:endParaRPr lang="en-IN" sz="1600" b="1" i="0" u="none" strike="noStrike" baseline="0">
            <a:solidFill>
              <a:srgbClr val="385F7C"/>
            </a:solidFill>
            <a:latin typeface="Calibri"/>
            <a:ea typeface="Calibri"/>
            <a:cs typeface="Calibri"/>
          </a:endParaRPr>
        </a:p>
      </xdr:txBody>
    </xdr:sp>
    <xdr:clientData/>
  </xdr:twoCellAnchor>
  <xdr:twoCellAnchor>
    <xdr:from>
      <xdr:col>14</xdr:col>
      <xdr:colOff>152402</xdr:colOff>
      <xdr:row>10</xdr:row>
      <xdr:rowOff>10886</xdr:rowOff>
    </xdr:from>
    <xdr:to>
      <xdr:col>21</xdr:col>
      <xdr:colOff>522514</xdr:colOff>
      <xdr:row>21</xdr:row>
      <xdr:rowOff>97971</xdr:rowOff>
    </xdr:to>
    <xdr:graphicFrame macro="">
      <xdr:nvGraphicFramePr>
        <xdr:cNvPr id="34" name="Chart 33">
          <a:extLst>
            <a:ext uri="{FF2B5EF4-FFF2-40B4-BE49-F238E27FC236}">
              <a16:creationId xmlns:a16="http://schemas.microsoft.com/office/drawing/2014/main" id="{8A85B7EF-651F-4D6B-94CB-60645FA32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185057</xdr:colOff>
      <xdr:row>25</xdr:row>
      <xdr:rowOff>152399</xdr:rowOff>
    </xdr:from>
    <xdr:to>
      <xdr:col>22</xdr:col>
      <xdr:colOff>0</xdr:colOff>
      <xdr:row>36</xdr:row>
      <xdr:rowOff>87084</xdr:rowOff>
    </xdr:to>
    <xdr:graphicFrame macro="">
      <xdr:nvGraphicFramePr>
        <xdr:cNvPr id="35" name="Chart 34">
          <a:extLst>
            <a:ext uri="{FF2B5EF4-FFF2-40B4-BE49-F238E27FC236}">
              <a16:creationId xmlns:a16="http://schemas.microsoft.com/office/drawing/2014/main" id="{BB3D5EE9-7D67-4B49-88F5-3D9FEAC32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174171</xdr:colOff>
      <xdr:row>18</xdr:row>
      <xdr:rowOff>87084</xdr:rowOff>
    </xdr:from>
    <xdr:to>
      <xdr:col>13</xdr:col>
      <xdr:colOff>119743</xdr:colOff>
      <xdr:row>36</xdr:row>
      <xdr:rowOff>97971</xdr:rowOff>
    </xdr:to>
    <xdr:graphicFrame macro="">
      <xdr:nvGraphicFramePr>
        <xdr:cNvPr id="36" name="Chart 35">
          <a:extLst>
            <a:ext uri="{FF2B5EF4-FFF2-40B4-BE49-F238E27FC236}">
              <a16:creationId xmlns:a16="http://schemas.microsoft.com/office/drawing/2014/main" id="{5F92F656-5705-4639-8916-E20A9252E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413658</xdr:colOff>
      <xdr:row>8</xdr:row>
      <xdr:rowOff>108856</xdr:rowOff>
    </xdr:from>
    <xdr:to>
      <xdr:col>28</xdr:col>
      <xdr:colOff>413657</xdr:colOff>
      <xdr:row>21</xdr:row>
      <xdr:rowOff>87085</xdr:rowOff>
    </xdr:to>
    <xdr:graphicFrame macro="">
      <xdr:nvGraphicFramePr>
        <xdr:cNvPr id="37" name="Chart 36">
          <a:extLst>
            <a:ext uri="{FF2B5EF4-FFF2-40B4-BE49-F238E27FC236}">
              <a16:creationId xmlns:a16="http://schemas.microsoft.com/office/drawing/2014/main" id="{6CA82CC9-999C-46AE-94B7-A81EE7528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446316</xdr:colOff>
      <xdr:row>22</xdr:row>
      <xdr:rowOff>130629</xdr:rowOff>
    </xdr:from>
    <xdr:to>
      <xdr:col>28</xdr:col>
      <xdr:colOff>370114</xdr:colOff>
      <xdr:row>36</xdr:row>
      <xdr:rowOff>163285</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BE8DA895-32EA-438B-A6A8-D2995924ED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857516" y="4201886"/>
              <a:ext cx="3581398" cy="26234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23</xdr:col>
      <xdr:colOff>315686</xdr:colOff>
      <xdr:row>5</xdr:row>
      <xdr:rowOff>108858</xdr:rowOff>
    </xdr:from>
    <xdr:to>
      <xdr:col>28</xdr:col>
      <xdr:colOff>446315</xdr:colOff>
      <xdr:row>7</xdr:row>
      <xdr:rowOff>130629</xdr:rowOff>
    </xdr:to>
    <mc:AlternateContent xmlns:mc="http://schemas.openxmlformats.org/markup-compatibility/2006">
      <mc:Choice xmlns:a14="http://schemas.microsoft.com/office/drawing/2010/main" Requires="a14">
        <xdr:graphicFrame macro="">
          <xdr:nvGraphicFramePr>
            <xdr:cNvPr id="39" name="Region 1">
              <a:extLst>
                <a:ext uri="{FF2B5EF4-FFF2-40B4-BE49-F238E27FC236}">
                  <a16:creationId xmlns:a16="http://schemas.microsoft.com/office/drawing/2014/main" id="{9F208FA9-8710-448B-8EAC-A16FEBDA2C1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336486" y="1034144"/>
              <a:ext cx="3178629" cy="391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576943</xdr:colOff>
      <xdr:row>5</xdr:row>
      <xdr:rowOff>130628</xdr:rowOff>
    </xdr:from>
    <xdr:to>
      <xdr:col>23</xdr:col>
      <xdr:colOff>79465</xdr:colOff>
      <xdr:row>7</xdr:row>
      <xdr:rowOff>130629</xdr:rowOff>
    </xdr:to>
    <mc:AlternateContent xmlns:mc="http://schemas.openxmlformats.org/markup-compatibility/2006">
      <mc:Choice xmlns:a14="http://schemas.microsoft.com/office/drawing/2010/main" Requires="a14">
        <xdr:graphicFrame macro="">
          <xdr:nvGraphicFramePr>
            <xdr:cNvPr id="40" name="Category 1">
              <a:extLst>
                <a:ext uri="{FF2B5EF4-FFF2-40B4-BE49-F238E27FC236}">
                  <a16:creationId xmlns:a16="http://schemas.microsoft.com/office/drawing/2014/main" id="{85A9046C-FB4D-4206-A166-255474CECC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330543" y="1055914"/>
              <a:ext cx="3769722" cy="370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54430</xdr:colOff>
      <xdr:row>5</xdr:row>
      <xdr:rowOff>119744</xdr:rowOff>
    </xdr:from>
    <xdr:to>
      <xdr:col>16</xdr:col>
      <xdr:colOff>97973</xdr:colOff>
      <xdr:row>7</xdr:row>
      <xdr:rowOff>32659</xdr:rowOff>
    </xdr:to>
    <xdr:sp macro="" textlink="">
      <xdr:nvSpPr>
        <xdr:cNvPr id="41" name="TextBox 40">
          <a:extLst>
            <a:ext uri="{FF2B5EF4-FFF2-40B4-BE49-F238E27FC236}">
              <a16:creationId xmlns:a16="http://schemas.microsoft.com/office/drawing/2014/main" id="{2416CDA4-270A-4314-ACCC-24162546152C}"/>
            </a:ext>
          </a:extLst>
        </xdr:cNvPr>
        <xdr:cNvSpPr txBox="1"/>
      </xdr:nvSpPr>
      <xdr:spPr>
        <a:xfrm>
          <a:off x="3712030" y="1045030"/>
          <a:ext cx="6139543"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lumMod val="50000"/>
                  <a:lumOff val="50000"/>
                </a:schemeClr>
              </a:solidFill>
            </a:rPr>
            <a:t>A Summary of sales perfromance, sales</a:t>
          </a:r>
          <a:r>
            <a:rPr lang="en-GB" sz="1200" baseline="0">
              <a:solidFill>
                <a:schemeClr val="tx1">
                  <a:lumMod val="50000"/>
                  <a:lumOff val="50000"/>
                </a:schemeClr>
              </a:solidFill>
            </a:rPr>
            <a:t> trend and regional sales etc..</a:t>
          </a:r>
          <a:endParaRPr lang="en-GB" sz="1200">
            <a:solidFill>
              <a:schemeClr val="tx1">
                <a:lumMod val="50000"/>
                <a:lumOff val="50000"/>
              </a:schemeClr>
            </a:solidFill>
          </a:endParaRPr>
        </a:p>
      </xdr:txBody>
    </xdr:sp>
    <xdr:clientData/>
  </xdr:twoCellAnchor>
  <xdr:twoCellAnchor>
    <xdr:from>
      <xdr:col>14</xdr:col>
      <xdr:colOff>65316</xdr:colOff>
      <xdr:row>8</xdr:row>
      <xdr:rowOff>174173</xdr:rowOff>
    </xdr:from>
    <xdr:to>
      <xdr:col>21</xdr:col>
      <xdr:colOff>130630</xdr:colOff>
      <xdr:row>10</xdr:row>
      <xdr:rowOff>65315</xdr:rowOff>
    </xdr:to>
    <xdr:sp macro="" textlink="">
      <xdr:nvSpPr>
        <xdr:cNvPr id="42" name="TextBox 41">
          <a:extLst>
            <a:ext uri="{FF2B5EF4-FFF2-40B4-BE49-F238E27FC236}">
              <a16:creationId xmlns:a16="http://schemas.microsoft.com/office/drawing/2014/main" id="{71FEE98E-FC18-4D3C-BF82-020D3BB43C9A}"/>
            </a:ext>
          </a:extLst>
        </xdr:cNvPr>
        <xdr:cNvSpPr txBox="1"/>
      </xdr:nvSpPr>
      <xdr:spPr>
        <a:xfrm>
          <a:off x="8599716" y="1654630"/>
          <a:ext cx="4332514" cy="261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385F7C"/>
              </a:solidFill>
            </a:rPr>
            <a:t>Category</a:t>
          </a:r>
          <a:r>
            <a:rPr lang="en-GB" sz="1400" baseline="0">
              <a:solidFill>
                <a:srgbClr val="385F7C"/>
              </a:solidFill>
            </a:rPr>
            <a:t> wise Sales</a:t>
          </a:r>
          <a:endParaRPr lang="en-GB" sz="1400">
            <a:solidFill>
              <a:srgbClr val="385F7C"/>
            </a:solidFill>
          </a:endParaRPr>
        </a:p>
      </xdr:txBody>
    </xdr:sp>
    <xdr:clientData/>
  </xdr:twoCellAnchor>
  <xdr:twoCellAnchor>
    <xdr:from>
      <xdr:col>14</xdr:col>
      <xdr:colOff>76202</xdr:colOff>
      <xdr:row>10</xdr:row>
      <xdr:rowOff>10888</xdr:rowOff>
    </xdr:from>
    <xdr:to>
      <xdr:col>18</xdr:col>
      <xdr:colOff>119743</xdr:colOff>
      <xdr:row>11</xdr:row>
      <xdr:rowOff>76199</xdr:rowOff>
    </xdr:to>
    <xdr:sp macro="" textlink="">
      <xdr:nvSpPr>
        <xdr:cNvPr id="43" name="TextBox 42">
          <a:extLst>
            <a:ext uri="{FF2B5EF4-FFF2-40B4-BE49-F238E27FC236}">
              <a16:creationId xmlns:a16="http://schemas.microsoft.com/office/drawing/2014/main" id="{31AB91FE-78CB-4703-A1B3-4BFC19BD3AD0}"/>
            </a:ext>
          </a:extLst>
        </xdr:cNvPr>
        <xdr:cNvSpPr txBox="1"/>
      </xdr:nvSpPr>
      <xdr:spPr>
        <a:xfrm>
          <a:off x="8610602" y="1861459"/>
          <a:ext cx="2481941" cy="250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tx1">
                  <a:lumMod val="50000"/>
                  <a:lumOff val="50000"/>
                </a:schemeClr>
              </a:solidFill>
            </a:rPr>
            <a:t>Grocery</a:t>
          </a:r>
          <a:r>
            <a:rPr lang="en-GB" sz="1100" baseline="0">
              <a:solidFill>
                <a:schemeClr val="tx1">
                  <a:lumMod val="50000"/>
                  <a:lumOff val="50000"/>
                </a:schemeClr>
              </a:solidFill>
            </a:rPr>
            <a:t> has Highest Sales with $67M</a:t>
          </a:r>
          <a:endParaRPr lang="en-GB" sz="1100">
            <a:solidFill>
              <a:schemeClr val="tx1">
                <a:lumMod val="50000"/>
                <a:lumOff val="50000"/>
              </a:schemeClr>
            </a:solidFill>
          </a:endParaRPr>
        </a:p>
      </xdr:txBody>
    </xdr:sp>
    <xdr:clientData/>
  </xdr:twoCellAnchor>
  <xdr:twoCellAnchor>
    <xdr:from>
      <xdr:col>6</xdr:col>
      <xdr:colOff>195945</xdr:colOff>
      <xdr:row>16</xdr:row>
      <xdr:rowOff>141515</xdr:rowOff>
    </xdr:from>
    <xdr:to>
      <xdr:col>8</xdr:col>
      <xdr:colOff>326572</xdr:colOff>
      <xdr:row>18</xdr:row>
      <xdr:rowOff>32656</xdr:rowOff>
    </xdr:to>
    <xdr:sp macro="" textlink="">
      <xdr:nvSpPr>
        <xdr:cNvPr id="44" name="TextBox 43">
          <a:extLst>
            <a:ext uri="{FF2B5EF4-FFF2-40B4-BE49-F238E27FC236}">
              <a16:creationId xmlns:a16="http://schemas.microsoft.com/office/drawing/2014/main" id="{DED1887C-0C9B-4898-B73B-B87C12ACC79D}"/>
            </a:ext>
          </a:extLst>
        </xdr:cNvPr>
        <xdr:cNvSpPr txBox="1"/>
      </xdr:nvSpPr>
      <xdr:spPr>
        <a:xfrm>
          <a:off x="3853545" y="3102429"/>
          <a:ext cx="1349827" cy="261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385F7C"/>
              </a:solidFill>
            </a:rPr>
            <a:t>City</a:t>
          </a:r>
          <a:r>
            <a:rPr lang="en-GB" sz="1200" baseline="0">
              <a:solidFill>
                <a:srgbClr val="385F7C"/>
              </a:solidFill>
            </a:rPr>
            <a:t> wise Sales</a:t>
          </a:r>
          <a:endParaRPr lang="en-GB" sz="1200">
            <a:solidFill>
              <a:srgbClr val="385F7C"/>
            </a:solidFill>
          </a:endParaRPr>
        </a:p>
      </xdr:txBody>
    </xdr:sp>
    <xdr:clientData/>
  </xdr:twoCellAnchor>
  <xdr:twoCellAnchor>
    <xdr:from>
      <xdr:col>14</xdr:col>
      <xdr:colOff>97972</xdr:colOff>
      <xdr:row>23</xdr:row>
      <xdr:rowOff>119744</xdr:rowOff>
    </xdr:from>
    <xdr:to>
      <xdr:col>16</xdr:col>
      <xdr:colOff>54429</xdr:colOff>
      <xdr:row>25</xdr:row>
      <xdr:rowOff>0</xdr:rowOff>
    </xdr:to>
    <xdr:sp macro="" textlink="">
      <xdr:nvSpPr>
        <xdr:cNvPr id="45" name="TextBox 44">
          <a:extLst>
            <a:ext uri="{FF2B5EF4-FFF2-40B4-BE49-F238E27FC236}">
              <a16:creationId xmlns:a16="http://schemas.microsoft.com/office/drawing/2014/main" id="{E8D7C336-F165-495E-9560-8F68599F1E4D}"/>
            </a:ext>
          </a:extLst>
        </xdr:cNvPr>
        <xdr:cNvSpPr txBox="1"/>
      </xdr:nvSpPr>
      <xdr:spPr>
        <a:xfrm>
          <a:off x="8632372" y="4376058"/>
          <a:ext cx="117565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385F7C"/>
              </a:solidFill>
            </a:rPr>
            <a:t>Sales Trend</a:t>
          </a:r>
          <a:r>
            <a:rPr lang="en-GB" sz="1200" baseline="0">
              <a:solidFill>
                <a:srgbClr val="385F7C"/>
              </a:solidFill>
            </a:rPr>
            <a:t> </a:t>
          </a:r>
          <a:endParaRPr lang="en-GB" sz="1200">
            <a:solidFill>
              <a:srgbClr val="385F7C"/>
            </a:solidFill>
          </a:endParaRPr>
        </a:p>
      </xdr:txBody>
    </xdr:sp>
    <xdr:clientData/>
  </xdr:twoCellAnchor>
  <xdr:twoCellAnchor>
    <xdr:from>
      <xdr:col>14</xdr:col>
      <xdr:colOff>97972</xdr:colOff>
      <xdr:row>24</xdr:row>
      <xdr:rowOff>108858</xdr:rowOff>
    </xdr:from>
    <xdr:to>
      <xdr:col>19</xdr:col>
      <xdr:colOff>43543</xdr:colOff>
      <xdr:row>25</xdr:row>
      <xdr:rowOff>163286</xdr:rowOff>
    </xdr:to>
    <xdr:sp macro="" textlink="salestrend">
      <xdr:nvSpPr>
        <xdr:cNvPr id="46" name="TextBox 45">
          <a:extLst>
            <a:ext uri="{FF2B5EF4-FFF2-40B4-BE49-F238E27FC236}">
              <a16:creationId xmlns:a16="http://schemas.microsoft.com/office/drawing/2014/main" id="{EC63E1CE-501D-4FA3-967F-F0240993D084}"/>
            </a:ext>
          </a:extLst>
        </xdr:cNvPr>
        <xdr:cNvSpPr txBox="1"/>
      </xdr:nvSpPr>
      <xdr:spPr>
        <a:xfrm>
          <a:off x="8632372" y="4550229"/>
          <a:ext cx="2993571"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tx1">
                  <a:lumMod val="50000"/>
                  <a:lumOff val="50000"/>
                </a:schemeClr>
              </a:solidFill>
            </a:rPr>
            <a:t>Peak</a:t>
          </a:r>
          <a:r>
            <a:rPr lang="en-GB" sz="1100" baseline="0">
              <a:solidFill>
                <a:schemeClr val="tx1">
                  <a:lumMod val="50000"/>
                  <a:lumOff val="50000"/>
                </a:schemeClr>
              </a:solidFill>
            </a:rPr>
            <a:t> Sales Month : Nov with $26M in sales</a:t>
          </a:r>
          <a:endParaRPr lang="en-GB" sz="1100">
            <a:solidFill>
              <a:schemeClr val="tx1">
                <a:lumMod val="50000"/>
                <a:lumOff val="50000"/>
              </a:schemeClr>
            </a:solidFill>
          </a:endParaRPr>
        </a:p>
      </xdr:txBody>
    </xdr:sp>
    <xdr:clientData/>
  </xdr:twoCellAnchor>
  <xdr:twoCellAnchor>
    <xdr:from>
      <xdr:col>22</xdr:col>
      <xdr:colOff>489859</xdr:colOff>
      <xdr:row>8</xdr:row>
      <xdr:rowOff>119743</xdr:rowOff>
    </xdr:from>
    <xdr:to>
      <xdr:col>25</xdr:col>
      <xdr:colOff>250371</xdr:colOff>
      <xdr:row>10</xdr:row>
      <xdr:rowOff>43542</xdr:rowOff>
    </xdr:to>
    <xdr:sp macro="" textlink="">
      <xdr:nvSpPr>
        <xdr:cNvPr id="47" name="TextBox 46">
          <a:extLst>
            <a:ext uri="{FF2B5EF4-FFF2-40B4-BE49-F238E27FC236}">
              <a16:creationId xmlns:a16="http://schemas.microsoft.com/office/drawing/2014/main" id="{CEB30D92-2C14-42E4-8B00-D043C69A8AEC}"/>
            </a:ext>
          </a:extLst>
        </xdr:cNvPr>
        <xdr:cNvSpPr txBox="1"/>
      </xdr:nvSpPr>
      <xdr:spPr>
        <a:xfrm>
          <a:off x="13901059" y="1600200"/>
          <a:ext cx="1589312" cy="293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aseline="0">
              <a:solidFill>
                <a:srgbClr val="385F7C"/>
              </a:solidFill>
            </a:rPr>
            <a:t>Region wise Sales</a:t>
          </a:r>
          <a:endParaRPr lang="en-GB" sz="1200">
            <a:solidFill>
              <a:srgbClr val="385F7C"/>
            </a:solidFill>
          </a:endParaRPr>
        </a:p>
      </xdr:txBody>
    </xdr:sp>
    <xdr:clientData/>
  </xdr:twoCellAnchor>
  <xdr:twoCellAnchor>
    <xdr:from>
      <xdr:col>22</xdr:col>
      <xdr:colOff>533402</xdr:colOff>
      <xdr:row>21</xdr:row>
      <xdr:rowOff>76199</xdr:rowOff>
    </xdr:from>
    <xdr:to>
      <xdr:col>26</xdr:col>
      <xdr:colOff>32657</xdr:colOff>
      <xdr:row>22</xdr:row>
      <xdr:rowOff>163285</xdr:rowOff>
    </xdr:to>
    <xdr:sp macro="" textlink="">
      <xdr:nvSpPr>
        <xdr:cNvPr id="48" name="TextBox 47">
          <a:extLst>
            <a:ext uri="{FF2B5EF4-FFF2-40B4-BE49-F238E27FC236}">
              <a16:creationId xmlns:a16="http://schemas.microsoft.com/office/drawing/2014/main" id="{332F0767-5365-4214-944C-19BC757A4870}"/>
            </a:ext>
          </a:extLst>
        </xdr:cNvPr>
        <xdr:cNvSpPr txBox="1"/>
      </xdr:nvSpPr>
      <xdr:spPr>
        <a:xfrm>
          <a:off x="13944602" y="3962399"/>
          <a:ext cx="1937655"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385F7C"/>
              </a:solidFill>
            </a:rPr>
            <a:t>Orders</a:t>
          </a:r>
          <a:r>
            <a:rPr lang="en-GB" sz="1200" baseline="0">
              <a:solidFill>
                <a:srgbClr val="385F7C"/>
              </a:solidFill>
            </a:rPr>
            <a:t> Per Payment Mode</a:t>
          </a:r>
          <a:endParaRPr lang="en-GB" sz="1200">
            <a:solidFill>
              <a:srgbClr val="385F7C"/>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YOUTUBE.xlsx" TargetMode="External"/><Relationship Id="rId1" Type="http://schemas.openxmlformats.org/officeDocument/2006/relationships/externalLinkPath" Target="YOUTUB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rniture_data"/>
      <sheetName val="CALCULATIONS"/>
      <sheetName val="DASHBOARD"/>
    </sheetNames>
    <sheetDataSet>
      <sheetData sheetId="0"/>
      <sheetData sheetId="1">
        <row r="16">
          <cell r="B16" t="str">
            <v>Peak Sales Month: Dec with $26,180 in Sales</v>
          </cell>
        </row>
      </sheetData>
      <sheetData sheetId="2"/>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68446990743" createdVersion="5" refreshedVersion="8" minRefreshableVersion="3" recordCount="0" supportSubquery="1" supportAdvancedDrill="1" xr:uid="{C7228BDE-FE9A-4105-8C4C-29287731240D}">
  <cacheSource type="external" connectionId="2"/>
  <cacheFields count="3">
    <cacheField name="[Measures].[Total_Sales]" caption="Total_Sales" numFmtId="0" hierarchy="14" level="32767"/>
    <cacheField name="[Sales_Raw_Data].[Category].[Category]" caption="Category" numFmtId="0" hierarchy="4" level="1">
      <sharedItems count="4">
        <s v="Clothing"/>
        <s v="Electronics"/>
        <s v="Furniture"/>
        <s v="Grocery"/>
      </sharedItems>
    </cacheField>
    <cacheField name="[Sales_Raw_Data].[Region].[Region]" caption="Region" numFmtId="0" hierarchy="2" level="1">
      <sharedItems containsSemiMixedTypes="0" containsNonDate="0" containsString="0"/>
    </cacheField>
  </cacheFields>
  <cacheHierarchies count="20">
    <cacheHierarchy uniqueName="[Sales_Raw_Data].[OrderID]" caption="OrderID" attribute="1" defaultMemberUniqueName="[Sales_Raw_Data].[OrderID].[All]" allUniqueName="[Sales_Raw_Data].[OrderID].[All]" dimensionUniqueName="[Sales_Raw_Data]" displayFolder="" count="2" memberValueDatatype="130" unbalanced="0"/>
    <cacheHierarchy uniqueName="[Sales_Raw_Data].[OrderDate]" caption="OrderDate" attribute="1" time="1" defaultMemberUniqueName="[Sales_Raw_Data].[OrderDate].[All]" allUniqueName="[Sales_Raw_Data].[OrderDate].[All]" dimensionUniqueName="[Sales_Raw_Data]" displayFolder="" count="2" memberValueDatatype="7" unbalanced="0"/>
    <cacheHierarchy uniqueName="[Sales_Raw_Data].[Region]" caption="Region" attribute="1" defaultMemberUniqueName="[Sales_Raw_Data].[Region].[All]" allUniqueName="[Sales_Raw_Data].[Region].[All]" dimensionUniqueName="[Sales_Raw_Data]" displayFolder="" count="2" memberValueDatatype="130" unbalanced="0">
      <fieldsUsage count="2">
        <fieldUsage x="-1"/>
        <fieldUsage x="2"/>
      </fieldsUsage>
    </cacheHierarchy>
    <cacheHierarchy uniqueName="[Sales_Raw_Data].[City]" caption="City" attribute="1" defaultMemberUniqueName="[Sales_Raw_Data].[City].[All]" allUniqueName="[Sales_Raw_Data].[City].[All]" dimensionUniqueName="[Sales_Raw_Data]" displayFolder="" count="2" memberValueDatatype="130" unbalanced="0"/>
    <cacheHierarchy uniqueName="[Sales_Raw_Data].[Category]" caption="Category" attribute="1" defaultMemberUniqueName="[Sales_Raw_Data].[Category].[All]" allUniqueName="[Sales_Raw_Data].[Category].[All]" dimensionUniqueName="[Sales_Raw_Data]" displayFolder="" count="2" memberValueDatatype="130" unbalanced="0">
      <fieldsUsage count="2">
        <fieldUsage x="-1"/>
        <fieldUsage x="1"/>
      </fieldsUsage>
    </cacheHierarchy>
    <cacheHierarchy uniqueName="[Sales_Raw_Data].[Product]" caption="Product" attribute="1" defaultMemberUniqueName="[Sales_Raw_Data].[Product].[All]" allUniqueName="[Sales_Raw_Data].[Product].[All]" dimensionUniqueName="[Sales_Raw_Data]" displayFolder="" count="2" memberValueDatatype="130" unbalanced="0"/>
    <cacheHierarchy uniqueName="[Sales_Raw_Data].[SalesRep]" caption="SalesRep" attribute="1" defaultMemberUniqueName="[Sales_Raw_Data].[SalesRep].[All]" allUniqueName="[Sales_Raw_Data].[SalesRep].[All]" dimensionUniqueName="[Sales_Raw_Data]" displayFolder="" count="2" memberValueDatatype="130" unbalanced="0"/>
    <cacheHierarchy uniqueName="[Sales_Raw_Data].[Quantity]" caption="Quantity" attribute="1" defaultMemberUniqueName="[Sales_Raw_Data].[Quantity].[All]" allUniqueName="[Sales_Raw_Data].[Quantity].[All]" dimensionUniqueName="[Sales_Raw_Data]" displayFolder="" count="2" memberValueDatatype="20" unbalanced="0"/>
    <cacheHierarchy uniqueName="[Sales_Raw_Data].[UnitPrice]" caption="UnitPrice" attribute="1" defaultMemberUniqueName="[Sales_Raw_Data].[UnitPrice].[All]" allUniqueName="[Sales_Raw_Data].[UnitPrice].[All]" dimensionUniqueName="[Sales_Raw_Data]" displayFolder="" count="2" memberValueDatatype="5" unbalanced="0"/>
    <cacheHierarchy uniqueName="[Sales_Raw_Data].[Discount]" caption="Discount" attribute="1" defaultMemberUniqueName="[Sales_Raw_Data].[Discount].[All]" allUniqueName="[Sales_Raw_Data].[Discount].[All]" dimensionUniqueName="[Sales_Raw_Data]" displayFolder="" count="2" memberValueDatatype="5" unbalanced="0"/>
    <cacheHierarchy uniqueName="[Sales_Raw_Data].[PaymentMode]" caption="PaymentMode" attribute="1" defaultMemberUniqueName="[Sales_Raw_Data].[PaymentMode].[All]" allUniqueName="[Sales_Raw_Data].[PaymentMode].[All]" dimensionUniqueName="[Sales_Raw_Data]" displayFolder="" count="2" memberValueDatatype="130" unbalanced="0"/>
    <cacheHierarchy uniqueName="[Sales_Raw_Data].[Sales]" caption="Sales" attribute="1" defaultMemberUniqueName="[Sales_Raw_Data].[Sales].[All]" allUniqueName="[Sales_Raw_Data].[Sales].[All]" dimensionUniqueName="[Sales_Raw_Data]" displayFolder="" count="2" memberValueDatatype="5" unbalanced="0"/>
    <cacheHierarchy uniqueName="[Sales_Raw_Data].[OrderDate (Month)]" caption="OrderDate (Month)" attribute="1" defaultMemberUniqueName="[Sales_Raw_Data].[OrderDate (Month)].[All]" allUniqueName="[Sales_Raw_Data].[OrderDate (Month)].[All]" dimensionUniqueName="[Sales_Raw_Data]" displayFolder="" count="2" memberValueDatatype="130" unbalanced="0"/>
    <cacheHierarchy uniqueName="[Sales_Raw_Data].[OrderDate (Month Index)]" caption="OrderDate (Month Index)" attribute="1" defaultMemberUniqueName="[Sales_Raw_Data].[OrderDate (Month Index)].[All]" allUniqueName="[Sales_Raw_Data].[OrderDate (Month Index)].[All]" dimensionUniqueName="[Sales_Raw_Data]" displayFolder="" count="2" memberValueDatatype="20" unbalanced="0" hidden="1"/>
    <cacheHierarchy uniqueName="[Measures].[Total_Sales]" caption="Total_Sales" measure="1" displayFolder="" measureGroup="Sales_Raw_Data" count="0" oneField="1">
      <fieldsUsage count="1">
        <fieldUsage x="0"/>
      </fieldsUsage>
    </cacheHierarchy>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hidden="1">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Raw_Data" uniqueName="[Sales_Raw_Data]" caption="Sales_Raw_Data"/>
  </dimensions>
  <measureGroups count="1">
    <measureGroup name="Sales_Raw_Data" caption="Sales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68447569443" createdVersion="5" refreshedVersion="8" minRefreshableVersion="3" recordCount="0" supportSubquery="1" supportAdvancedDrill="1" xr:uid="{2F2DE402-B68B-48E6-A7DE-573F61546DE4}">
  <cacheSource type="external" connectionId="2"/>
  <cacheFields count="3">
    <cacheField name="[Sales_Raw_Data].[OrderDate (Month)].[OrderDate (Month)]" caption="OrderDate (Month)" numFmtId="0" hierarchy="12" level="1">
      <sharedItems count="12">
        <s v="Jan"/>
        <s v="Feb"/>
        <s v="Mar"/>
        <s v="Apr"/>
        <s v="May"/>
        <s v="Jun"/>
        <s v="Jul"/>
        <s v="Aug"/>
        <s v="Sep"/>
        <s v="Oct"/>
        <s v="Nov"/>
        <s v="Dec"/>
      </sharedItems>
    </cacheField>
    <cacheField name="[Measures].[Total_Sales]" caption="Total_Sales" numFmtId="0" hierarchy="14" level="32767"/>
    <cacheField name="[Sales_Raw_Data].[Region].[Region]" caption="Region" numFmtId="0" hierarchy="2" level="1">
      <sharedItems containsSemiMixedTypes="0" containsNonDate="0" containsString="0"/>
    </cacheField>
  </cacheFields>
  <cacheHierarchies count="20">
    <cacheHierarchy uniqueName="[Sales_Raw_Data].[OrderID]" caption="OrderID" attribute="1" defaultMemberUniqueName="[Sales_Raw_Data].[OrderID].[All]" allUniqueName="[Sales_Raw_Data].[OrderID].[All]" dimensionUniqueName="[Sales_Raw_Data]" displayFolder="" count="0" memberValueDatatype="130" unbalanced="0"/>
    <cacheHierarchy uniqueName="[Sales_Raw_Data].[OrderDate]" caption="OrderDate" attribute="1" time="1" defaultMemberUniqueName="[Sales_Raw_Data].[OrderDate].[All]" allUniqueName="[Sales_Raw_Data].[OrderDate].[All]" dimensionUniqueName="[Sales_Raw_Data]" displayFolder="" count="2" memberValueDatatype="7" unbalanced="0"/>
    <cacheHierarchy uniqueName="[Sales_Raw_Data].[Region]" caption="Region" attribute="1" defaultMemberUniqueName="[Sales_Raw_Data].[Region].[All]" allUniqueName="[Sales_Raw_Data].[Region].[All]" dimensionUniqueName="[Sales_Raw_Data]" displayFolder="" count="2" memberValueDatatype="130" unbalanced="0">
      <fieldsUsage count="2">
        <fieldUsage x="-1"/>
        <fieldUsage x="2"/>
      </fieldsUsage>
    </cacheHierarchy>
    <cacheHierarchy uniqueName="[Sales_Raw_Data].[City]" caption="City" attribute="1" defaultMemberUniqueName="[Sales_Raw_Data].[City].[All]" allUniqueName="[Sales_Raw_Data].[City].[All]" dimensionUniqueName="[Sales_Raw_Data]" displayFolder="" count="0" memberValueDatatype="130" unbalanced="0"/>
    <cacheHierarchy uniqueName="[Sales_Raw_Data].[Category]" caption="Category" attribute="1" defaultMemberUniqueName="[Sales_Raw_Data].[Category].[All]" allUniqueName="[Sales_Raw_Data].[Category].[All]" dimensionUniqueName="[Sales_Raw_Data]" displayFolder="" count="2" memberValueDatatype="130" unbalanced="0"/>
    <cacheHierarchy uniqueName="[Sales_Raw_Data].[Product]" caption="Product" attribute="1" defaultMemberUniqueName="[Sales_Raw_Data].[Product].[All]" allUniqueName="[Sales_Raw_Data].[Product].[All]" dimensionUniqueName="[Sales_Raw_Data]" displayFolder="" count="0" memberValueDatatype="130" unbalanced="0"/>
    <cacheHierarchy uniqueName="[Sales_Raw_Data].[SalesRep]" caption="SalesRep" attribute="1" defaultMemberUniqueName="[Sales_Raw_Data].[SalesRep].[All]" allUniqueName="[Sales_Raw_Data].[SalesRep].[All]" dimensionUniqueName="[Sales_Raw_Data]" displayFolder="" count="0" memberValueDatatype="130" unbalanced="0"/>
    <cacheHierarchy uniqueName="[Sales_Raw_Data].[Quantity]" caption="Quantity" attribute="1" defaultMemberUniqueName="[Sales_Raw_Data].[Quantity].[All]" allUniqueName="[Sales_Raw_Data].[Quantity].[All]" dimensionUniqueName="[Sales_Raw_Data]" displayFolder="" count="0" memberValueDatatype="20" unbalanced="0"/>
    <cacheHierarchy uniqueName="[Sales_Raw_Data].[UnitPrice]" caption="UnitPrice" attribute="1" defaultMemberUniqueName="[Sales_Raw_Data].[UnitPrice].[All]" allUniqueName="[Sales_Raw_Data].[UnitPrice].[All]" dimensionUniqueName="[Sales_Raw_Data]" displayFolder="" count="0" memberValueDatatype="5" unbalanced="0"/>
    <cacheHierarchy uniqueName="[Sales_Raw_Data].[Discount]" caption="Discount" attribute="1" defaultMemberUniqueName="[Sales_Raw_Data].[Discount].[All]" allUniqueName="[Sales_Raw_Data].[Discount].[All]" dimensionUniqueName="[Sales_Raw_Data]" displayFolder="" count="0" memberValueDatatype="5" unbalanced="0"/>
    <cacheHierarchy uniqueName="[Sales_Raw_Data].[PaymentMode]" caption="PaymentMode" attribute="1" defaultMemberUniqueName="[Sales_Raw_Data].[PaymentMode].[All]" allUniqueName="[Sales_Raw_Data].[PaymentMode].[All]" dimensionUniqueName="[Sales_Raw_Data]" displayFolder="" count="0" memberValueDatatype="130" unbalanced="0"/>
    <cacheHierarchy uniqueName="[Sales_Raw_Data].[Sales]" caption="Sales" attribute="1" defaultMemberUniqueName="[Sales_Raw_Data].[Sales].[All]" allUniqueName="[Sales_Raw_Data].[Sales].[All]" dimensionUniqueName="[Sales_Raw_Data]" displayFolder="" count="0" memberValueDatatype="5" unbalanced="0"/>
    <cacheHierarchy uniqueName="[Sales_Raw_Data].[OrderDate (Month)]" caption="OrderDate (Month)" attribute="1" defaultMemberUniqueName="[Sales_Raw_Data].[OrderDate (Month)].[All]" allUniqueName="[Sales_Raw_Data].[OrderDate (Month)].[All]" dimensionUniqueName="[Sales_Raw_Data]" displayFolder="" count="2" memberValueDatatype="130" unbalanced="0">
      <fieldsUsage count="2">
        <fieldUsage x="-1"/>
        <fieldUsage x="0"/>
      </fieldsUsage>
    </cacheHierarchy>
    <cacheHierarchy uniqueName="[Sales_Raw_Data].[OrderDate (Month Index)]" caption="OrderDate (Month Index)" attribute="1" defaultMemberUniqueName="[Sales_Raw_Data].[OrderDate (Month Index)].[All]" allUniqueName="[Sales_Raw_Data].[OrderDate (Month Index)].[All]" dimensionUniqueName="[Sales_Raw_Data]" displayFolder="" count="0" memberValueDatatype="20" unbalanced="0" hidden="1"/>
    <cacheHierarchy uniqueName="[Measures].[Total_Sales]" caption="Total_Sales" measure="1" displayFolder="" measureGroup="Sales_Raw_Data" count="0" oneField="1">
      <fieldsUsage count="1">
        <fieldUsage x="1"/>
      </fieldsUsage>
    </cacheHierarchy>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hidden="1">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Raw_Data" uniqueName="[Sales_Raw_Data]" caption="Sales_Raw_Data"/>
  </dimensions>
  <measureGroups count="1">
    <measureGroup name="Sales_Raw_Data" caption="Sales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68448148151" createdVersion="5" refreshedVersion="8" minRefreshableVersion="3" recordCount="0" supportSubquery="1" supportAdvancedDrill="1" xr:uid="{54BF2983-FB17-4428-8CE9-0A53B1B63D46}">
  <cacheSource type="external" connectionId="2"/>
  <cacheFields count="3">
    <cacheField name="[Sales_Raw_Data].[OrderDate (Month)].[OrderDate (Month)]" caption="OrderDate (Month)" numFmtId="0" hierarchy="12" level="1">
      <sharedItems count="12">
        <s v="Jan"/>
        <s v="Feb"/>
        <s v="Mar"/>
        <s v="Apr"/>
        <s v="May"/>
        <s v="Jun"/>
        <s v="Jul"/>
        <s v="Aug"/>
        <s v="Sep"/>
        <s v="Oct"/>
        <s v="Nov"/>
        <s v="Dec"/>
      </sharedItems>
    </cacheField>
    <cacheField name="[Measures].[Total_Sales]" caption="Total_Sales" numFmtId="0" hierarchy="14" level="32767"/>
    <cacheField name="[Sales_Raw_Data].[Region].[Region]" caption="Region" numFmtId="0" hierarchy="2" level="1">
      <sharedItems count="4">
        <s v="East"/>
        <s v="North"/>
        <s v="South"/>
        <s v="West"/>
      </sharedItems>
    </cacheField>
  </cacheFields>
  <cacheHierarchies count="20">
    <cacheHierarchy uniqueName="[Sales_Raw_Data].[OrderID]" caption="OrderID" attribute="1" defaultMemberUniqueName="[Sales_Raw_Data].[OrderID].[All]" allUniqueName="[Sales_Raw_Data].[OrderID].[All]" dimensionUniqueName="[Sales_Raw_Data]" displayFolder="" count="0" memberValueDatatype="130" unbalanced="0"/>
    <cacheHierarchy uniqueName="[Sales_Raw_Data].[OrderDate]" caption="OrderDate" attribute="1" time="1" defaultMemberUniqueName="[Sales_Raw_Data].[OrderDate].[All]" allUniqueName="[Sales_Raw_Data].[OrderDate].[All]" dimensionUniqueName="[Sales_Raw_Data]" displayFolder="" count="2" memberValueDatatype="7" unbalanced="0"/>
    <cacheHierarchy uniqueName="[Sales_Raw_Data].[Region]" caption="Region" attribute="1" defaultMemberUniqueName="[Sales_Raw_Data].[Region].[All]" allUniqueName="[Sales_Raw_Data].[Region].[All]" dimensionUniqueName="[Sales_Raw_Data]" displayFolder="" count="2" memberValueDatatype="130" unbalanced="0">
      <fieldsUsage count="2">
        <fieldUsage x="-1"/>
        <fieldUsage x="2"/>
      </fieldsUsage>
    </cacheHierarchy>
    <cacheHierarchy uniqueName="[Sales_Raw_Data].[City]" caption="City" attribute="1" defaultMemberUniqueName="[Sales_Raw_Data].[City].[All]" allUniqueName="[Sales_Raw_Data].[City].[All]" dimensionUniqueName="[Sales_Raw_Data]" displayFolder="" count="0" memberValueDatatype="130" unbalanced="0"/>
    <cacheHierarchy uniqueName="[Sales_Raw_Data].[Category]" caption="Category" attribute="1" defaultMemberUniqueName="[Sales_Raw_Data].[Category].[All]" allUniqueName="[Sales_Raw_Data].[Category].[All]" dimensionUniqueName="[Sales_Raw_Data]" displayFolder="" count="2" memberValueDatatype="130" unbalanced="0"/>
    <cacheHierarchy uniqueName="[Sales_Raw_Data].[Product]" caption="Product" attribute="1" defaultMemberUniqueName="[Sales_Raw_Data].[Product].[All]" allUniqueName="[Sales_Raw_Data].[Product].[All]" dimensionUniqueName="[Sales_Raw_Data]" displayFolder="" count="0" memberValueDatatype="130" unbalanced="0"/>
    <cacheHierarchy uniqueName="[Sales_Raw_Data].[SalesRep]" caption="SalesRep" attribute="1" defaultMemberUniqueName="[Sales_Raw_Data].[SalesRep].[All]" allUniqueName="[Sales_Raw_Data].[SalesRep].[All]" dimensionUniqueName="[Sales_Raw_Data]" displayFolder="" count="0" memberValueDatatype="130" unbalanced="0"/>
    <cacheHierarchy uniqueName="[Sales_Raw_Data].[Quantity]" caption="Quantity" attribute="1" defaultMemberUniqueName="[Sales_Raw_Data].[Quantity].[All]" allUniqueName="[Sales_Raw_Data].[Quantity].[All]" dimensionUniqueName="[Sales_Raw_Data]" displayFolder="" count="0" memberValueDatatype="20" unbalanced="0"/>
    <cacheHierarchy uniqueName="[Sales_Raw_Data].[UnitPrice]" caption="UnitPrice" attribute="1" defaultMemberUniqueName="[Sales_Raw_Data].[UnitPrice].[All]" allUniqueName="[Sales_Raw_Data].[UnitPrice].[All]" dimensionUniqueName="[Sales_Raw_Data]" displayFolder="" count="0" memberValueDatatype="5" unbalanced="0"/>
    <cacheHierarchy uniqueName="[Sales_Raw_Data].[Discount]" caption="Discount" attribute="1" defaultMemberUniqueName="[Sales_Raw_Data].[Discount].[All]" allUniqueName="[Sales_Raw_Data].[Discount].[All]" dimensionUniqueName="[Sales_Raw_Data]" displayFolder="" count="0" memberValueDatatype="5" unbalanced="0"/>
    <cacheHierarchy uniqueName="[Sales_Raw_Data].[PaymentMode]" caption="PaymentMode" attribute="1" defaultMemberUniqueName="[Sales_Raw_Data].[PaymentMode].[All]" allUniqueName="[Sales_Raw_Data].[PaymentMode].[All]" dimensionUniqueName="[Sales_Raw_Data]" displayFolder="" count="0" memberValueDatatype="130" unbalanced="0"/>
    <cacheHierarchy uniqueName="[Sales_Raw_Data].[Sales]" caption="Sales" attribute="1" defaultMemberUniqueName="[Sales_Raw_Data].[Sales].[All]" allUniqueName="[Sales_Raw_Data].[Sales].[All]" dimensionUniqueName="[Sales_Raw_Data]" displayFolder="" count="0" memberValueDatatype="5" unbalanced="0"/>
    <cacheHierarchy uniqueName="[Sales_Raw_Data].[OrderDate (Month)]" caption="OrderDate (Month)" attribute="1" defaultMemberUniqueName="[Sales_Raw_Data].[OrderDate (Month)].[All]" allUniqueName="[Sales_Raw_Data].[OrderDate (Month)].[All]" dimensionUniqueName="[Sales_Raw_Data]" displayFolder="" count="2" memberValueDatatype="130" unbalanced="0">
      <fieldsUsage count="2">
        <fieldUsage x="-1"/>
        <fieldUsage x="0"/>
      </fieldsUsage>
    </cacheHierarchy>
    <cacheHierarchy uniqueName="[Sales_Raw_Data].[OrderDate (Month Index)]" caption="OrderDate (Month Index)" attribute="1" defaultMemberUniqueName="[Sales_Raw_Data].[OrderDate (Month Index)].[All]" allUniqueName="[Sales_Raw_Data].[OrderDate (Month Index)].[All]" dimensionUniqueName="[Sales_Raw_Data]" displayFolder="" count="0" memberValueDatatype="20" unbalanced="0" hidden="1"/>
    <cacheHierarchy uniqueName="[Measures].[Total_Sales]" caption="Total_Sales" measure="1" displayFolder="" measureGroup="Sales_Raw_Data" count="0" oneField="1">
      <fieldsUsage count="1">
        <fieldUsage x="1"/>
      </fieldsUsage>
    </cacheHierarchy>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hidden="1">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Raw_Data" uniqueName="[Sales_Raw_Data]" caption="Sales_Raw_Data"/>
  </dimensions>
  <measureGroups count="1">
    <measureGroup name="Sales_Raw_Data" caption="Sales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68448726852" createdVersion="5" refreshedVersion="8" minRefreshableVersion="3" recordCount="0" supportSubquery="1" supportAdvancedDrill="1" xr:uid="{0EE18A66-7F87-481F-A9B0-B5887DB9C2DB}">
  <cacheSource type="external" connectionId="2"/>
  <cacheFields count="3">
    <cacheField name="[Sales_Raw_Data].[OrderDate (Month)].[OrderDate (Month)]" caption="OrderDate (Month)" numFmtId="0" hierarchy="12" level="1">
      <sharedItems count="12">
        <s v="Jan"/>
        <s v="Feb"/>
        <s v="Mar"/>
        <s v="Apr"/>
        <s v="May"/>
        <s v="Jun"/>
        <s v="Jul"/>
        <s v="Aug"/>
        <s v="Sep"/>
        <s v="Oct"/>
        <s v="Nov"/>
        <s v="Dec"/>
      </sharedItems>
    </cacheField>
    <cacheField name="[Sales_Raw_Data].[Region].[Region]" caption="Region" numFmtId="0" hierarchy="2" level="1">
      <sharedItems count="4">
        <s v="East"/>
        <s v="North"/>
        <s v="South"/>
        <s v="West"/>
      </sharedItems>
    </cacheField>
    <cacheField name="[Measures].[Count of OrderID]" caption="Count of OrderID" numFmtId="0" hierarchy="17" level="32767"/>
  </cacheFields>
  <cacheHierarchies count="20">
    <cacheHierarchy uniqueName="[Sales_Raw_Data].[OrderID]" caption="OrderID" attribute="1" defaultMemberUniqueName="[Sales_Raw_Data].[OrderID].[All]" allUniqueName="[Sales_Raw_Data].[OrderID].[All]" dimensionUniqueName="[Sales_Raw_Data]" displayFolder="" count="0" memberValueDatatype="130" unbalanced="0"/>
    <cacheHierarchy uniqueName="[Sales_Raw_Data].[OrderDate]" caption="OrderDate" attribute="1" time="1" defaultMemberUniqueName="[Sales_Raw_Data].[OrderDate].[All]" allUniqueName="[Sales_Raw_Data].[OrderDate].[All]" dimensionUniqueName="[Sales_Raw_Data]" displayFolder="" count="2" memberValueDatatype="7" unbalanced="0"/>
    <cacheHierarchy uniqueName="[Sales_Raw_Data].[Region]" caption="Region" attribute="1" defaultMemberUniqueName="[Sales_Raw_Data].[Region].[All]" allUniqueName="[Sales_Raw_Data].[Region].[All]" dimensionUniqueName="[Sales_Raw_Data]" displayFolder="" count="2" memberValueDatatype="130" unbalanced="0">
      <fieldsUsage count="2">
        <fieldUsage x="-1"/>
        <fieldUsage x="1"/>
      </fieldsUsage>
    </cacheHierarchy>
    <cacheHierarchy uniqueName="[Sales_Raw_Data].[City]" caption="City" attribute="1" defaultMemberUniqueName="[Sales_Raw_Data].[City].[All]" allUniqueName="[Sales_Raw_Data].[City].[All]" dimensionUniqueName="[Sales_Raw_Data]" displayFolder="" count="0" memberValueDatatype="130" unbalanced="0"/>
    <cacheHierarchy uniqueName="[Sales_Raw_Data].[Category]" caption="Category" attribute="1" defaultMemberUniqueName="[Sales_Raw_Data].[Category].[All]" allUniqueName="[Sales_Raw_Data].[Category].[All]" dimensionUniqueName="[Sales_Raw_Data]" displayFolder="" count="2" memberValueDatatype="130" unbalanced="0"/>
    <cacheHierarchy uniqueName="[Sales_Raw_Data].[Product]" caption="Product" attribute="1" defaultMemberUniqueName="[Sales_Raw_Data].[Product].[All]" allUniqueName="[Sales_Raw_Data].[Product].[All]" dimensionUniqueName="[Sales_Raw_Data]" displayFolder="" count="0" memberValueDatatype="130" unbalanced="0"/>
    <cacheHierarchy uniqueName="[Sales_Raw_Data].[SalesRep]" caption="SalesRep" attribute="1" defaultMemberUniqueName="[Sales_Raw_Data].[SalesRep].[All]" allUniqueName="[Sales_Raw_Data].[SalesRep].[All]" dimensionUniqueName="[Sales_Raw_Data]" displayFolder="" count="0" memberValueDatatype="130" unbalanced="0"/>
    <cacheHierarchy uniqueName="[Sales_Raw_Data].[Quantity]" caption="Quantity" attribute="1" defaultMemberUniqueName="[Sales_Raw_Data].[Quantity].[All]" allUniqueName="[Sales_Raw_Data].[Quantity].[All]" dimensionUniqueName="[Sales_Raw_Data]" displayFolder="" count="0" memberValueDatatype="20" unbalanced="0"/>
    <cacheHierarchy uniqueName="[Sales_Raw_Data].[UnitPrice]" caption="UnitPrice" attribute="1" defaultMemberUniqueName="[Sales_Raw_Data].[UnitPrice].[All]" allUniqueName="[Sales_Raw_Data].[UnitPrice].[All]" dimensionUniqueName="[Sales_Raw_Data]" displayFolder="" count="0" memberValueDatatype="5" unbalanced="0"/>
    <cacheHierarchy uniqueName="[Sales_Raw_Data].[Discount]" caption="Discount" attribute="1" defaultMemberUniqueName="[Sales_Raw_Data].[Discount].[All]" allUniqueName="[Sales_Raw_Data].[Discount].[All]" dimensionUniqueName="[Sales_Raw_Data]" displayFolder="" count="0" memberValueDatatype="5" unbalanced="0"/>
    <cacheHierarchy uniqueName="[Sales_Raw_Data].[PaymentMode]" caption="PaymentMode" attribute="1" defaultMemberUniqueName="[Sales_Raw_Data].[PaymentMode].[All]" allUniqueName="[Sales_Raw_Data].[PaymentMode].[All]" dimensionUniqueName="[Sales_Raw_Data]" displayFolder="" count="0" memberValueDatatype="130" unbalanced="0"/>
    <cacheHierarchy uniqueName="[Sales_Raw_Data].[Sales]" caption="Sales" attribute="1" defaultMemberUniqueName="[Sales_Raw_Data].[Sales].[All]" allUniqueName="[Sales_Raw_Data].[Sales].[All]" dimensionUniqueName="[Sales_Raw_Data]" displayFolder="" count="0" memberValueDatatype="5" unbalanced="0"/>
    <cacheHierarchy uniqueName="[Sales_Raw_Data].[OrderDate (Month)]" caption="OrderDate (Month)" attribute="1" defaultMemberUniqueName="[Sales_Raw_Data].[OrderDate (Month)].[All]" allUniqueName="[Sales_Raw_Data].[OrderDate (Month)].[All]" dimensionUniqueName="[Sales_Raw_Data]" displayFolder="" count="2" memberValueDatatype="130" unbalanced="0">
      <fieldsUsage count="2">
        <fieldUsage x="-1"/>
        <fieldUsage x="0"/>
      </fieldsUsage>
    </cacheHierarchy>
    <cacheHierarchy uniqueName="[Sales_Raw_Data].[OrderDate (Month Index)]" caption="OrderDate (Month Index)" attribute="1" defaultMemberUniqueName="[Sales_Raw_Data].[OrderDate (Month Index)].[All]" allUniqueName="[Sales_Raw_Data].[OrderDate (Month Index)].[All]" dimensionUniqueName="[Sales_Raw_Data]" displayFolder="" count="0" memberValueDatatype="20" unbalanced="0" hidden="1"/>
    <cacheHierarchy uniqueName="[Measures].[Total_Sales]" caption="Total_Sales" measure="1" displayFolder="" measureGroup="Sales_Raw_Data" count="0"/>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Raw_Data" uniqueName="[Sales_Raw_Data]" caption="Sales_Raw_Data"/>
  </dimensions>
  <measureGroups count="1">
    <measureGroup name="Sales_Raw_Data" caption="Sales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68449074075" createdVersion="5" refreshedVersion="8" minRefreshableVersion="3" recordCount="0" supportSubquery="1" supportAdvancedDrill="1" xr:uid="{7174EC79-3F8E-454F-B496-3F21FF5F74DA}">
  <cacheSource type="external" connectionId="2"/>
  <cacheFields count="3">
    <cacheField name="[Sales_Raw_Data].[OrderDate (Month)].[OrderDate (Month)]" caption="OrderDate (Month)" numFmtId="0" hierarchy="12" level="1">
      <sharedItems count="12">
        <s v="Jan"/>
        <s v="Feb"/>
        <s v="Mar"/>
        <s v="Apr"/>
        <s v="May"/>
        <s v="Jun"/>
        <s v="Jul"/>
        <s v="Aug"/>
        <s v="Sep"/>
        <s v="Oct"/>
        <s v="Nov"/>
        <s v="Dec"/>
      </sharedItems>
    </cacheField>
    <cacheField name="[Sales_Raw_Data].[Region].[Region]" caption="Region" numFmtId="0" hierarchy="2" level="1">
      <sharedItems count="4">
        <s v="East"/>
        <s v="North"/>
        <s v="South"/>
        <s v="West"/>
      </sharedItems>
    </cacheField>
    <cacheField name="[Measures].[Sum of Quantity]" caption="Sum of Quantity" numFmtId="0" hierarchy="19" level="32767"/>
  </cacheFields>
  <cacheHierarchies count="20">
    <cacheHierarchy uniqueName="[Sales_Raw_Data].[OrderID]" caption="OrderID" attribute="1" defaultMemberUniqueName="[Sales_Raw_Data].[OrderID].[All]" allUniqueName="[Sales_Raw_Data].[OrderID].[All]" dimensionUniqueName="[Sales_Raw_Data]" displayFolder="" count="0" memberValueDatatype="130" unbalanced="0"/>
    <cacheHierarchy uniqueName="[Sales_Raw_Data].[OrderDate]" caption="OrderDate" attribute="1" time="1" defaultMemberUniqueName="[Sales_Raw_Data].[OrderDate].[All]" allUniqueName="[Sales_Raw_Data].[OrderDate].[All]" dimensionUniqueName="[Sales_Raw_Data]" displayFolder="" count="2" memberValueDatatype="7" unbalanced="0"/>
    <cacheHierarchy uniqueName="[Sales_Raw_Data].[Region]" caption="Region" attribute="1" defaultMemberUniqueName="[Sales_Raw_Data].[Region].[All]" allUniqueName="[Sales_Raw_Data].[Region].[All]" dimensionUniqueName="[Sales_Raw_Data]" displayFolder="" count="2" memberValueDatatype="130" unbalanced="0">
      <fieldsUsage count="2">
        <fieldUsage x="-1"/>
        <fieldUsage x="1"/>
      </fieldsUsage>
    </cacheHierarchy>
    <cacheHierarchy uniqueName="[Sales_Raw_Data].[City]" caption="City" attribute="1" defaultMemberUniqueName="[Sales_Raw_Data].[City].[All]" allUniqueName="[Sales_Raw_Data].[City].[All]" dimensionUniqueName="[Sales_Raw_Data]" displayFolder="" count="0" memberValueDatatype="130" unbalanced="0"/>
    <cacheHierarchy uniqueName="[Sales_Raw_Data].[Category]" caption="Category" attribute="1" defaultMemberUniqueName="[Sales_Raw_Data].[Category].[All]" allUniqueName="[Sales_Raw_Data].[Category].[All]" dimensionUniqueName="[Sales_Raw_Data]" displayFolder="" count="2" memberValueDatatype="130" unbalanced="0"/>
    <cacheHierarchy uniqueName="[Sales_Raw_Data].[Product]" caption="Product" attribute="1" defaultMemberUniqueName="[Sales_Raw_Data].[Product].[All]" allUniqueName="[Sales_Raw_Data].[Product].[All]" dimensionUniqueName="[Sales_Raw_Data]" displayFolder="" count="0" memberValueDatatype="130" unbalanced="0"/>
    <cacheHierarchy uniqueName="[Sales_Raw_Data].[SalesRep]" caption="SalesRep" attribute="1" defaultMemberUniqueName="[Sales_Raw_Data].[SalesRep].[All]" allUniqueName="[Sales_Raw_Data].[SalesRep].[All]" dimensionUniqueName="[Sales_Raw_Data]" displayFolder="" count="0" memberValueDatatype="130" unbalanced="0"/>
    <cacheHierarchy uniqueName="[Sales_Raw_Data].[Quantity]" caption="Quantity" attribute="1" defaultMemberUniqueName="[Sales_Raw_Data].[Quantity].[All]" allUniqueName="[Sales_Raw_Data].[Quantity].[All]" dimensionUniqueName="[Sales_Raw_Data]" displayFolder="" count="0" memberValueDatatype="20" unbalanced="0"/>
    <cacheHierarchy uniqueName="[Sales_Raw_Data].[UnitPrice]" caption="UnitPrice" attribute="1" defaultMemberUniqueName="[Sales_Raw_Data].[UnitPrice].[All]" allUniqueName="[Sales_Raw_Data].[UnitPrice].[All]" dimensionUniqueName="[Sales_Raw_Data]" displayFolder="" count="0" memberValueDatatype="5" unbalanced="0"/>
    <cacheHierarchy uniqueName="[Sales_Raw_Data].[Discount]" caption="Discount" attribute="1" defaultMemberUniqueName="[Sales_Raw_Data].[Discount].[All]" allUniqueName="[Sales_Raw_Data].[Discount].[All]" dimensionUniqueName="[Sales_Raw_Data]" displayFolder="" count="0" memberValueDatatype="5" unbalanced="0"/>
    <cacheHierarchy uniqueName="[Sales_Raw_Data].[PaymentMode]" caption="PaymentMode" attribute="1" defaultMemberUniqueName="[Sales_Raw_Data].[PaymentMode].[All]" allUniqueName="[Sales_Raw_Data].[PaymentMode].[All]" dimensionUniqueName="[Sales_Raw_Data]" displayFolder="" count="0" memberValueDatatype="130" unbalanced="0"/>
    <cacheHierarchy uniqueName="[Sales_Raw_Data].[Sales]" caption="Sales" attribute="1" defaultMemberUniqueName="[Sales_Raw_Data].[Sales].[All]" allUniqueName="[Sales_Raw_Data].[Sales].[All]" dimensionUniqueName="[Sales_Raw_Data]" displayFolder="" count="0" memberValueDatatype="5" unbalanced="0"/>
    <cacheHierarchy uniqueName="[Sales_Raw_Data].[OrderDate (Month)]" caption="OrderDate (Month)" attribute="1" defaultMemberUniqueName="[Sales_Raw_Data].[OrderDate (Month)].[All]" allUniqueName="[Sales_Raw_Data].[OrderDate (Month)].[All]" dimensionUniqueName="[Sales_Raw_Data]" displayFolder="" count="2" memberValueDatatype="130" unbalanced="0">
      <fieldsUsage count="2">
        <fieldUsage x="-1"/>
        <fieldUsage x="0"/>
      </fieldsUsage>
    </cacheHierarchy>
    <cacheHierarchy uniqueName="[Sales_Raw_Data].[OrderDate (Month Index)]" caption="OrderDate (Month Index)" attribute="1" defaultMemberUniqueName="[Sales_Raw_Data].[OrderDate (Month Index)].[All]" allUniqueName="[Sales_Raw_Data].[OrderDate (Month Index)].[All]" dimensionUniqueName="[Sales_Raw_Data]" displayFolder="" count="0" memberValueDatatype="20" unbalanced="0" hidden="1"/>
    <cacheHierarchy uniqueName="[Measures].[Total_Sales]" caption="Total_Sales" measure="1" displayFolder="" measureGroup="Sales_Raw_Data" count="0"/>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hidden="1">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Raw_Data" uniqueName="[Sales_Raw_Data]" caption="Sales_Raw_Data"/>
  </dimensions>
  <measureGroups count="1">
    <measureGroup name="Sales_Raw_Data" caption="Sales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68449652776" createdVersion="5" refreshedVersion="8" minRefreshableVersion="3" recordCount="0" supportSubquery="1" supportAdvancedDrill="1" xr:uid="{59F49A56-B901-44E7-AFA2-F608FC29BF59}">
  <cacheSource type="external" connectionId="2"/>
  <cacheFields count="2">
    <cacheField name="[Measures].[Total_Sales]" caption="Total_Sales" numFmtId="0" hierarchy="14" level="32767"/>
    <cacheField name="[Sales_Raw_Data].[Region].[Region]" caption="Region" numFmtId="0" hierarchy="2" level="1">
      <sharedItems count="4">
        <s v="East"/>
        <s v="North"/>
        <s v="South"/>
        <s v="West"/>
      </sharedItems>
    </cacheField>
  </cacheFields>
  <cacheHierarchies count="20">
    <cacheHierarchy uniqueName="[Sales_Raw_Data].[OrderID]" caption="OrderID" attribute="1" defaultMemberUniqueName="[Sales_Raw_Data].[OrderID].[All]" allUniqueName="[Sales_Raw_Data].[OrderID].[All]" dimensionUniqueName="[Sales_Raw_Data]" displayFolder="" count="2" memberValueDatatype="130" unbalanced="0"/>
    <cacheHierarchy uniqueName="[Sales_Raw_Data].[OrderDate]" caption="OrderDate" attribute="1" time="1" defaultMemberUniqueName="[Sales_Raw_Data].[OrderDate].[All]" allUniqueName="[Sales_Raw_Data].[OrderDate].[All]" dimensionUniqueName="[Sales_Raw_Data]" displayFolder="" count="2" memberValueDatatype="7" unbalanced="0"/>
    <cacheHierarchy uniqueName="[Sales_Raw_Data].[Region]" caption="Region" attribute="1" defaultMemberUniqueName="[Sales_Raw_Data].[Region].[All]" allUniqueName="[Sales_Raw_Data].[Region].[All]" dimensionUniqueName="[Sales_Raw_Data]" displayFolder="" count="2" memberValueDatatype="130" unbalanced="0">
      <fieldsUsage count="2">
        <fieldUsage x="-1"/>
        <fieldUsage x="1"/>
      </fieldsUsage>
    </cacheHierarchy>
    <cacheHierarchy uniqueName="[Sales_Raw_Data].[City]" caption="City" attribute="1" defaultMemberUniqueName="[Sales_Raw_Data].[City].[All]" allUniqueName="[Sales_Raw_Data].[City].[All]" dimensionUniqueName="[Sales_Raw_Data]" displayFolder="" count="2" memberValueDatatype="130" unbalanced="0"/>
    <cacheHierarchy uniqueName="[Sales_Raw_Data].[Category]" caption="Category" attribute="1" defaultMemberUniqueName="[Sales_Raw_Data].[Category].[All]" allUniqueName="[Sales_Raw_Data].[Category].[All]" dimensionUniqueName="[Sales_Raw_Data]" displayFolder="" count="2" memberValueDatatype="130" unbalanced="0"/>
    <cacheHierarchy uniqueName="[Sales_Raw_Data].[Product]" caption="Product" attribute="1" defaultMemberUniqueName="[Sales_Raw_Data].[Product].[All]" allUniqueName="[Sales_Raw_Data].[Product].[All]" dimensionUniqueName="[Sales_Raw_Data]" displayFolder="" count="2" memberValueDatatype="130" unbalanced="0"/>
    <cacheHierarchy uniqueName="[Sales_Raw_Data].[SalesRep]" caption="SalesRep" attribute="1" defaultMemberUniqueName="[Sales_Raw_Data].[SalesRep].[All]" allUniqueName="[Sales_Raw_Data].[SalesRep].[All]" dimensionUniqueName="[Sales_Raw_Data]" displayFolder="" count="2" memberValueDatatype="130" unbalanced="0"/>
    <cacheHierarchy uniqueName="[Sales_Raw_Data].[Quantity]" caption="Quantity" attribute="1" defaultMemberUniqueName="[Sales_Raw_Data].[Quantity].[All]" allUniqueName="[Sales_Raw_Data].[Quantity].[All]" dimensionUniqueName="[Sales_Raw_Data]" displayFolder="" count="2" memberValueDatatype="20" unbalanced="0"/>
    <cacheHierarchy uniqueName="[Sales_Raw_Data].[UnitPrice]" caption="UnitPrice" attribute="1" defaultMemberUniqueName="[Sales_Raw_Data].[UnitPrice].[All]" allUniqueName="[Sales_Raw_Data].[UnitPrice].[All]" dimensionUniqueName="[Sales_Raw_Data]" displayFolder="" count="2" memberValueDatatype="5" unbalanced="0"/>
    <cacheHierarchy uniqueName="[Sales_Raw_Data].[Discount]" caption="Discount" attribute="1" defaultMemberUniqueName="[Sales_Raw_Data].[Discount].[All]" allUniqueName="[Sales_Raw_Data].[Discount].[All]" dimensionUniqueName="[Sales_Raw_Data]" displayFolder="" count="2" memberValueDatatype="5" unbalanced="0"/>
    <cacheHierarchy uniqueName="[Sales_Raw_Data].[PaymentMode]" caption="PaymentMode" attribute="1" defaultMemberUniqueName="[Sales_Raw_Data].[PaymentMode].[All]" allUniqueName="[Sales_Raw_Data].[PaymentMode].[All]" dimensionUniqueName="[Sales_Raw_Data]" displayFolder="" count="2" memberValueDatatype="130" unbalanced="0"/>
    <cacheHierarchy uniqueName="[Sales_Raw_Data].[Sales]" caption="Sales" attribute="1" defaultMemberUniqueName="[Sales_Raw_Data].[Sales].[All]" allUniqueName="[Sales_Raw_Data].[Sales].[All]" dimensionUniqueName="[Sales_Raw_Data]" displayFolder="" count="2" memberValueDatatype="5" unbalanced="0"/>
    <cacheHierarchy uniqueName="[Sales_Raw_Data].[OrderDate (Month)]" caption="OrderDate (Month)" attribute="1" defaultMemberUniqueName="[Sales_Raw_Data].[OrderDate (Month)].[All]" allUniqueName="[Sales_Raw_Data].[OrderDate (Month)].[All]" dimensionUniqueName="[Sales_Raw_Data]" displayFolder="" count="2" memberValueDatatype="130" unbalanced="0"/>
    <cacheHierarchy uniqueName="[Sales_Raw_Data].[OrderDate (Month Index)]" caption="OrderDate (Month Index)" attribute="1" defaultMemberUniqueName="[Sales_Raw_Data].[OrderDate (Month Index)].[All]" allUniqueName="[Sales_Raw_Data].[OrderDate (Month Index)].[All]" dimensionUniqueName="[Sales_Raw_Data]" displayFolder="" count="2" memberValueDatatype="20" unbalanced="0" hidden="1"/>
    <cacheHierarchy uniqueName="[Measures].[Total_Sales]" caption="Total_Sales" measure="1" displayFolder="" measureGroup="Sales_Raw_Data" count="0" oneField="1">
      <fieldsUsage count="1">
        <fieldUsage x="0"/>
      </fieldsUsage>
    </cacheHierarchy>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hidden="1">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Raw_Data" uniqueName="[Sales_Raw_Data]" caption="Sales_Raw_Data"/>
  </dimensions>
  <measureGroups count="1">
    <measureGroup name="Sales_Raw_Data" caption="Sales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68450231483" createdVersion="5" refreshedVersion="8" minRefreshableVersion="3" recordCount="0" supportSubquery="1" supportAdvancedDrill="1" xr:uid="{7AF2D90D-AA3C-4FFF-B39D-63F86BA05DE3}">
  <cacheSource type="external" connectionId="2"/>
  <cacheFields count="3">
    <cacheField name="[Measures].[Total_Sales]" caption="Total_Sales" numFmtId="0" hierarchy="14" level="32767"/>
    <cacheField name="[Sales_Raw_Data].[City].[City]" caption="City" numFmtId="0" hierarchy="3" level="1">
      <sharedItems count="12">
        <s v="Ahmedabad"/>
        <s v="Bangalore"/>
        <s v="Bhubaneswar"/>
        <s v="Chennai"/>
        <s v="Delhi"/>
        <s v="Hyderabad"/>
        <s v="Jaipur"/>
        <s v="Kolkata"/>
        <s v="Lucknow"/>
        <s v="Mumbai"/>
        <s v="Patna"/>
        <s v="Pune"/>
      </sharedItems>
    </cacheField>
    <cacheField name="[Sales_Raw_Data].[Region].[Region]" caption="Region" numFmtId="0" hierarchy="2" level="1">
      <sharedItems containsSemiMixedTypes="0" containsNonDate="0" containsString="0"/>
    </cacheField>
  </cacheFields>
  <cacheHierarchies count="20">
    <cacheHierarchy uniqueName="[Sales_Raw_Data].[OrderID]" caption="OrderID" attribute="1" defaultMemberUniqueName="[Sales_Raw_Data].[OrderID].[All]" allUniqueName="[Sales_Raw_Data].[OrderID].[All]" dimensionUniqueName="[Sales_Raw_Data]" displayFolder="" count="0" memberValueDatatype="130" unbalanced="0"/>
    <cacheHierarchy uniqueName="[Sales_Raw_Data].[OrderDate]" caption="OrderDate" attribute="1" time="1" defaultMemberUniqueName="[Sales_Raw_Data].[OrderDate].[All]" allUniqueName="[Sales_Raw_Data].[OrderDate].[All]" dimensionUniqueName="[Sales_Raw_Data]" displayFolder="" count="0" memberValueDatatype="7" unbalanced="0"/>
    <cacheHierarchy uniqueName="[Sales_Raw_Data].[Region]" caption="Region" attribute="1" defaultMemberUniqueName="[Sales_Raw_Data].[Region].[All]" allUniqueName="[Sales_Raw_Data].[Region].[All]" dimensionUniqueName="[Sales_Raw_Data]" displayFolder="" count="2" memberValueDatatype="130" unbalanced="0">
      <fieldsUsage count="2">
        <fieldUsage x="-1"/>
        <fieldUsage x="2"/>
      </fieldsUsage>
    </cacheHierarchy>
    <cacheHierarchy uniqueName="[Sales_Raw_Data].[City]" caption="City" attribute="1" defaultMemberUniqueName="[Sales_Raw_Data].[City].[All]" allUniqueName="[Sales_Raw_Data].[City].[All]" dimensionUniqueName="[Sales_Raw_Data]" displayFolder="" count="2" memberValueDatatype="130" unbalanced="0">
      <fieldsUsage count="2">
        <fieldUsage x="-1"/>
        <fieldUsage x="1"/>
      </fieldsUsage>
    </cacheHierarchy>
    <cacheHierarchy uniqueName="[Sales_Raw_Data].[Category]" caption="Category" attribute="1" defaultMemberUniqueName="[Sales_Raw_Data].[Category].[All]" allUniqueName="[Sales_Raw_Data].[Category].[All]" dimensionUniqueName="[Sales_Raw_Data]" displayFolder="" count="2" memberValueDatatype="130" unbalanced="0"/>
    <cacheHierarchy uniqueName="[Sales_Raw_Data].[Product]" caption="Product" attribute="1" defaultMemberUniqueName="[Sales_Raw_Data].[Product].[All]" allUniqueName="[Sales_Raw_Data].[Product].[All]" dimensionUniqueName="[Sales_Raw_Data]" displayFolder="" count="0" memberValueDatatype="130" unbalanced="0"/>
    <cacheHierarchy uniqueName="[Sales_Raw_Data].[SalesRep]" caption="SalesRep" attribute="1" defaultMemberUniqueName="[Sales_Raw_Data].[SalesRep].[All]" allUniqueName="[Sales_Raw_Data].[SalesRep].[All]" dimensionUniqueName="[Sales_Raw_Data]" displayFolder="" count="0" memberValueDatatype="130" unbalanced="0"/>
    <cacheHierarchy uniqueName="[Sales_Raw_Data].[Quantity]" caption="Quantity" attribute="1" defaultMemberUniqueName="[Sales_Raw_Data].[Quantity].[All]" allUniqueName="[Sales_Raw_Data].[Quantity].[All]" dimensionUniqueName="[Sales_Raw_Data]" displayFolder="" count="0" memberValueDatatype="20" unbalanced="0"/>
    <cacheHierarchy uniqueName="[Sales_Raw_Data].[UnitPrice]" caption="UnitPrice" attribute="1" defaultMemberUniqueName="[Sales_Raw_Data].[UnitPrice].[All]" allUniqueName="[Sales_Raw_Data].[UnitPrice].[All]" dimensionUniqueName="[Sales_Raw_Data]" displayFolder="" count="0" memberValueDatatype="5" unbalanced="0"/>
    <cacheHierarchy uniqueName="[Sales_Raw_Data].[Discount]" caption="Discount" attribute="1" defaultMemberUniqueName="[Sales_Raw_Data].[Discount].[All]" allUniqueName="[Sales_Raw_Data].[Discount].[All]" dimensionUniqueName="[Sales_Raw_Data]" displayFolder="" count="0" memberValueDatatype="5" unbalanced="0"/>
    <cacheHierarchy uniqueName="[Sales_Raw_Data].[PaymentMode]" caption="PaymentMode" attribute="1" defaultMemberUniqueName="[Sales_Raw_Data].[PaymentMode].[All]" allUniqueName="[Sales_Raw_Data].[PaymentMode].[All]" dimensionUniqueName="[Sales_Raw_Data]" displayFolder="" count="0" memberValueDatatype="130" unbalanced="0"/>
    <cacheHierarchy uniqueName="[Sales_Raw_Data].[Sales]" caption="Sales" attribute="1" defaultMemberUniqueName="[Sales_Raw_Data].[Sales].[All]" allUniqueName="[Sales_Raw_Data].[Sales].[All]" dimensionUniqueName="[Sales_Raw_Data]" displayFolder="" count="0" memberValueDatatype="5" unbalanced="0"/>
    <cacheHierarchy uniqueName="[Sales_Raw_Data].[OrderDate (Month)]" caption="OrderDate (Month)" attribute="1" defaultMemberUniqueName="[Sales_Raw_Data].[OrderDate (Month)].[All]" allUniqueName="[Sales_Raw_Data].[OrderDate (Month)].[All]" dimensionUniqueName="[Sales_Raw_Data]" displayFolder="" count="0" memberValueDatatype="130" unbalanced="0"/>
    <cacheHierarchy uniqueName="[Sales_Raw_Data].[OrderDate (Month Index)]" caption="OrderDate (Month Index)" attribute="1" defaultMemberUniqueName="[Sales_Raw_Data].[OrderDate (Month Index)].[All]" allUniqueName="[Sales_Raw_Data].[OrderDate (Month Index)].[All]" dimensionUniqueName="[Sales_Raw_Data]" displayFolder="" count="0" memberValueDatatype="20" unbalanced="0" hidden="1"/>
    <cacheHierarchy uniqueName="[Measures].[Total_Sales]" caption="Total_Sales" measure="1" displayFolder="" measureGroup="Sales_Raw_Data" count="0" oneField="1">
      <fieldsUsage count="1">
        <fieldUsage x="0"/>
      </fieldsUsage>
    </cacheHierarchy>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hidden="1">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Raw_Data" uniqueName="[Sales_Raw_Data]" caption="Sales_Raw_Data"/>
  </dimensions>
  <measureGroups count="1">
    <measureGroup name="Sales_Raw_Data" caption="Sales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68450925923" createdVersion="5" refreshedVersion="8" minRefreshableVersion="3" recordCount="0" supportSubquery="1" supportAdvancedDrill="1" xr:uid="{41919E2F-CF19-45B5-881C-2F931C90AB07}">
  <cacheSource type="external" connectionId="2"/>
  <cacheFields count="3">
    <cacheField name="[Measures].[Total_Sales]" caption="Total_Sales" numFmtId="0" hierarchy="14" level="32767"/>
    <cacheField name="[Sales_Raw_Data].[Product].[Product]" caption="Product" numFmtId="0" hierarchy="5" level="1">
      <sharedItems count="16">
        <s v="Almirah"/>
        <s v="Atta"/>
        <s v="Chair"/>
        <s v="Headphone"/>
        <s v="Jacket"/>
        <s v="Jeans"/>
        <s v="Laptop"/>
        <s v="Mobile"/>
        <s v="Oil"/>
        <s v="Rice"/>
        <s v="Saree"/>
        <s v="Smartwatch"/>
        <s v="Sofa"/>
        <s v="Sugar"/>
        <s v="Table"/>
        <s v="T-Shirt"/>
      </sharedItems>
    </cacheField>
    <cacheField name="[Sales_Raw_Data].[Region].[Region]" caption="Region" numFmtId="0" hierarchy="2" level="1">
      <sharedItems containsSemiMixedTypes="0" containsNonDate="0" containsString="0"/>
    </cacheField>
  </cacheFields>
  <cacheHierarchies count="20">
    <cacheHierarchy uniqueName="[Sales_Raw_Data].[OrderID]" caption="OrderID" attribute="1" defaultMemberUniqueName="[Sales_Raw_Data].[OrderID].[All]" allUniqueName="[Sales_Raw_Data].[OrderID].[All]" dimensionUniqueName="[Sales_Raw_Data]" displayFolder="" count="0" memberValueDatatype="130" unbalanced="0"/>
    <cacheHierarchy uniqueName="[Sales_Raw_Data].[OrderDate]" caption="OrderDate" attribute="1" time="1" defaultMemberUniqueName="[Sales_Raw_Data].[OrderDate].[All]" allUniqueName="[Sales_Raw_Data].[OrderDate].[All]" dimensionUniqueName="[Sales_Raw_Data]" displayFolder="" count="0" memberValueDatatype="7" unbalanced="0"/>
    <cacheHierarchy uniqueName="[Sales_Raw_Data].[Region]" caption="Region" attribute="1" defaultMemberUniqueName="[Sales_Raw_Data].[Region].[All]" allUniqueName="[Sales_Raw_Data].[Region].[All]" dimensionUniqueName="[Sales_Raw_Data]" displayFolder="" count="2" memberValueDatatype="130" unbalanced="0">
      <fieldsUsage count="2">
        <fieldUsage x="-1"/>
        <fieldUsage x="2"/>
      </fieldsUsage>
    </cacheHierarchy>
    <cacheHierarchy uniqueName="[Sales_Raw_Data].[City]" caption="City" attribute="1" defaultMemberUniqueName="[Sales_Raw_Data].[City].[All]" allUniqueName="[Sales_Raw_Data].[City].[All]" dimensionUniqueName="[Sales_Raw_Data]" displayFolder="" count="0" memberValueDatatype="130" unbalanced="0"/>
    <cacheHierarchy uniqueName="[Sales_Raw_Data].[Category]" caption="Category" attribute="1" defaultMemberUniqueName="[Sales_Raw_Data].[Category].[All]" allUniqueName="[Sales_Raw_Data].[Category].[All]" dimensionUniqueName="[Sales_Raw_Data]" displayFolder="" count="2" memberValueDatatype="130" unbalanced="0"/>
    <cacheHierarchy uniqueName="[Sales_Raw_Data].[Product]" caption="Product" attribute="1" defaultMemberUniqueName="[Sales_Raw_Data].[Product].[All]" allUniqueName="[Sales_Raw_Data].[Product].[All]" dimensionUniqueName="[Sales_Raw_Data]" displayFolder="" count="2" memberValueDatatype="130" unbalanced="0">
      <fieldsUsage count="2">
        <fieldUsage x="-1"/>
        <fieldUsage x="1"/>
      </fieldsUsage>
    </cacheHierarchy>
    <cacheHierarchy uniqueName="[Sales_Raw_Data].[SalesRep]" caption="SalesRep" attribute="1" defaultMemberUniqueName="[Sales_Raw_Data].[SalesRep].[All]" allUniqueName="[Sales_Raw_Data].[SalesRep].[All]" dimensionUniqueName="[Sales_Raw_Data]" displayFolder="" count="0" memberValueDatatype="130" unbalanced="0"/>
    <cacheHierarchy uniqueName="[Sales_Raw_Data].[Quantity]" caption="Quantity" attribute="1" defaultMemberUniqueName="[Sales_Raw_Data].[Quantity].[All]" allUniqueName="[Sales_Raw_Data].[Quantity].[All]" dimensionUniqueName="[Sales_Raw_Data]" displayFolder="" count="0" memberValueDatatype="20" unbalanced="0"/>
    <cacheHierarchy uniqueName="[Sales_Raw_Data].[UnitPrice]" caption="UnitPrice" attribute="1" defaultMemberUniqueName="[Sales_Raw_Data].[UnitPrice].[All]" allUniqueName="[Sales_Raw_Data].[UnitPrice].[All]" dimensionUniqueName="[Sales_Raw_Data]" displayFolder="" count="0" memberValueDatatype="5" unbalanced="0"/>
    <cacheHierarchy uniqueName="[Sales_Raw_Data].[Discount]" caption="Discount" attribute="1" defaultMemberUniqueName="[Sales_Raw_Data].[Discount].[All]" allUniqueName="[Sales_Raw_Data].[Discount].[All]" dimensionUniqueName="[Sales_Raw_Data]" displayFolder="" count="0" memberValueDatatype="5" unbalanced="0"/>
    <cacheHierarchy uniqueName="[Sales_Raw_Data].[PaymentMode]" caption="PaymentMode" attribute="1" defaultMemberUniqueName="[Sales_Raw_Data].[PaymentMode].[All]" allUniqueName="[Sales_Raw_Data].[PaymentMode].[All]" dimensionUniqueName="[Sales_Raw_Data]" displayFolder="" count="0" memberValueDatatype="130" unbalanced="0"/>
    <cacheHierarchy uniqueName="[Sales_Raw_Data].[Sales]" caption="Sales" attribute="1" defaultMemberUniqueName="[Sales_Raw_Data].[Sales].[All]" allUniqueName="[Sales_Raw_Data].[Sales].[All]" dimensionUniqueName="[Sales_Raw_Data]" displayFolder="" count="0" memberValueDatatype="5" unbalanced="0"/>
    <cacheHierarchy uniqueName="[Sales_Raw_Data].[OrderDate (Month)]" caption="OrderDate (Month)" attribute="1" defaultMemberUniqueName="[Sales_Raw_Data].[OrderDate (Month)].[All]" allUniqueName="[Sales_Raw_Data].[OrderDate (Month)].[All]" dimensionUniqueName="[Sales_Raw_Data]" displayFolder="" count="0" memberValueDatatype="130" unbalanced="0"/>
    <cacheHierarchy uniqueName="[Sales_Raw_Data].[OrderDate (Month Index)]" caption="OrderDate (Month Index)" attribute="1" defaultMemberUniqueName="[Sales_Raw_Data].[OrderDate (Month Index)].[All]" allUniqueName="[Sales_Raw_Data].[OrderDate (Month Index)].[All]" dimensionUniqueName="[Sales_Raw_Data]" displayFolder="" count="0" memberValueDatatype="20" unbalanced="0" hidden="1"/>
    <cacheHierarchy uniqueName="[Measures].[Total_Sales]" caption="Total_Sales" measure="1" displayFolder="" measureGroup="Sales_Raw_Data" count="0" oneField="1">
      <fieldsUsage count="1">
        <fieldUsage x="0"/>
      </fieldsUsage>
    </cacheHierarchy>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hidden="1">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Raw_Data" uniqueName="[Sales_Raw_Data]" caption="Sales_Raw_Data"/>
  </dimensions>
  <measureGroups count="1">
    <measureGroup name="Sales_Raw_Data" caption="Sales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68451273146" createdVersion="5" refreshedVersion="8" minRefreshableVersion="3" recordCount="0" supportSubquery="1" supportAdvancedDrill="1" xr:uid="{F98BE2F3-E016-406C-8589-9748CA8909B1}">
  <cacheSource type="external" connectionId="2"/>
  <cacheFields count="3">
    <cacheField name="[Measures].[Total_Sales]" caption="Total_Sales" numFmtId="0" hierarchy="14" level="32767"/>
    <cacheField name="[Sales_Raw_Data].[SalesRep].[SalesRep]" caption="SalesRep" numFmtId="0" hierarchy="6" level="1">
      <sharedItems count="8">
        <s v="Amit"/>
        <s v="Arjun"/>
        <s v="Neha"/>
        <s v="Pooja"/>
        <s v="Priya"/>
        <s v="Rahul"/>
        <s v="Sneha"/>
        <s v="Vikas"/>
      </sharedItems>
    </cacheField>
    <cacheField name="[Sales_Raw_Data].[Region].[Region]" caption="Region" numFmtId="0" hierarchy="2" level="1">
      <sharedItems containsSemiMixedTypes="0" containsNonDate="0" containsString="0"/>
    </cacheField>
  </cacheFields>
  <cacheHierarchies count="20">
    <cacheHierarchy uniqueName="[Sales_Raw_Data].[OrderID]" caption="OrderID" attribute="1" defaultMemberUniqueName="[Sales_Raw_Data].[OrderID].[All]" allUniqueName="[Sales_Raw_Data].[OrderID].[All]" dimensionUniqueName="[Sales_Raw_Data]" displayFolder="" count="0" memberValueDatatype="130" unbalanced="0"/>
    <cacheHierarchy uniqueName="[Sales_Raw_Data].[OrderDate]" caption="OrderDate" attribute="1" time="1" defaultMemberUniqueName="[Sales_Raw_Data].[OrderDate].[All]" allUniqueName="[Sales_Raw_Data].[OrderDate].[All]" dimensionUniqueName="[Sales_Raw_Data]" displayFolder="" count="0" memberValueDatatype="7" unbalanced="0"/>
    <cacheHierarchy uniqueName="[Sales_Raw_Data].[Region]" caption="Region" attribute="1" defaultMemberUniqueName="[Sales_Raw_Data].[Region].[All]" allUniqueName="[Sales_Raw_Data].[Region].[All]" dimensionUniqueName="[Sales_Raw_Data]" displayFolder="" count="2" memberValueDatatype="130" unbalanced="0">
      <fieldsUsage count="2">
        <fieldUsage x="-1"/>
        <fieldUsage x="2"/>
      </fieldsUsage>
    </cacheHierarchy>
    <cacheHierarchy uniqueName="[Sales_Raw_Data].[City]" caption="City" attribute="1" defaultMemberUniqueName="[Sales_Raw_Data].[City].[All]" allUniqueName="[Sales_Raw_Data].[City].[All]" dimensionUniqueName="[Sales_Raw_Data]" displayFolder="" count="0" memberValueDatatype="130" unbalanced="0"/>
    <cacheHierarchy uniqueName="[Sales_Raw_Data].[Category]" caption="Category" attribute="1" defaultMemberUniqueName="[Sales_Raw_Data].[Category].[All]" allUniqueName="[Sales_Raw_Data].[Category].[All]" dimensionUniqueName="[Sales_Raw_Data]" displayFolder="" count="2" memberValueDatatype="130" unbalanced="0"/>
    <cacheHierarchy uniqueName="[Sales_Raw_Data].[Product]" caption="Product" attribute="1" defaultMemberUniqueName="[Sales_Raw_Data].[Product].[All]" allUniqueName="[Sales_Raw_Data].[Product].[All]" dimensionUniqueName="[Sales_Raw_Data]" displayFolder="" count="0" memberValueDatatype="130" unbalanced="0"/>
    <cacheHierarchy uniqueName="[Sales_Raw_Data].[SalesRep]" caption="SalesRep" attribute="1" defaultMemberUniqueName="[Sales_Raw_Data].[SalesRep].[All]" allUniqueName="[Sales_Raw_Data].[SalesRep].[All]" dimensionUniqueName="[Sales_Raw_Data]" displayFolder="" count="2" memberValueDatatype="130" unbalanced="0">
      <fieldsUsage count="2">
        <fieldUsage x="-1"/>
        <fieldUsage x="1"/>
      </fieldsUsage>
    </cacheHierarchy>
    <cacheHierarchy uniqueName="[Sales_Raw_Data].[Quantity]" caption="Quantity" attribute="1" defaultMemberUniqueName="[Sales_Raw_Data].[Quantity].[All]" allUniqueName="[Sales_Raw_Data].[Quantity].[All]" dimensionUniqueName="[Sales_Raw_Data]" displayFolder="" count="0" memberValueDatatype="20" unbalanced="0"/>
    <cacheHierarchy uniqueName="[Sales_Raw_Data].[UnitPrice]" caption="UnitPrice" attribute="1" defaultMemberUniqueName="[Sales_Raw_Data].[UnitPrice].[All]" allUniqueName="[Sales_Raw_Data].[UnitPrice].[All]" dimensionUniqueName="[Sales_Raw_Data]" displayFolder="" count="0" memberValueDatatype="5" unbalanced="0"/>
    <cacheHierarchy uniqueName="[Sales_Raw_Data].[Discount]" caption="Discount" attribute="1" defaultMemberUniqueName="[Sales_Raw_Data].[Discount].[All]" allUniqueName="[Sales_Raw_Data].[Discount].[All]" dimensionUniqueName="[Sales_Raw_Data]" displayFolder="" count="0" memberValueDatatype="5" unbalanced="0"/>
    <cacheHierarchy uniqueName="[Sales_Raw_Data].[PaymentMode]" caption="PaymentMode" attribute="1" defaultMemberUniqueName="[Sales_Raw_Data].[PaymentMode].[All]" allUniqueName="[Sales_Raw_Data].[PaymentMode].[All]" dimensionUniqueName="[Sales_Raw_Data]" displayFolder="" count="0" memberValueDatatype="130" unbalanced="0"/>
    <cacheHierarchy uniqueName="[Sales_Raw_Data].[Sales]" caption="Sales" attribute="1" defaultMemberUniqueName="[Sales_Raw_Data].[Sales].[All]" allUniqueName="[Sales_Raw_Data].[Sales].[All]" dimensionUniqueName="[Sales_Raw_Data]" displayFolder="" count="0" memberValueDatatype="5" unbalanced="0"/>
    <cacheHierarchy uniqueName="[Sales_Raw_Data].[OrderDate (Month)]" caption="OrderDate (Month)" attribute="1" defaultMemberUniqueName="[Sales_Raw_Data].[OrderDate (Month)].[All]" allUniqueName="[Sales_Raw_Data].[OrderDate (Month)].[All]" dimensionUniqueName="[Sales_Raw_Data]" displayFolder="" count="0" memberValueDatatype="130" unbalanced="0"/>
    <cacheHierarchy uniqueName="[Sales_Raw_Data].[OrderDate (Month Index)]" caption="OrderDate (Month Index)" attribute="1" defaultMemberUniqueName="[Sales_Raw_Data].[OrderDate (Month Index)].[All]" allUniqueName="[Sales_Raw_Data].[OrderDate (Month Index)].[All]" dimensionUniqueName="[Sales_Raw_Data]" displayFolder="" count="0" memberValueDatatype="20" unbalanced="0" hidden="1"/>
    <cacheHierarchy uniqueName="[Measures].[Total_Sales]" caption="Total_Sales" measure="1" displayFolder="" measureGroup="Sales_Raw_Data" count="0" oneField="1">
      <fieldsUsage count="1">
        <fieldUsage x="0"/>
      </fieldsUsage>
    </cacheHierarchy>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hidden="1">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Raw_Data" uniqueName="[Sales_Raw_Data]" caption="Sales_Raw_Data"/>
  </dimensions>
  <measureGroups count="1">
    <measureGroup name="Sales_Raw_Data" caption="Sales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68451736108" createdVersion="5" refreshedVersion="8" minRefreshableVersion="3" recordCount="0" supportSubquery="1" supportAdvancedDrill="1" xr:uid="{3CCEE548-BB76-497C-B641-07BB88557BA8}">
  <cacheSource type="external" connectionId="2"/>
  <cacheFields count="3">
    <cacheField name="[Sales_Raw_Data].[PaymentMode].[PaymentMode]" caption="PaymentMode" numFmtId="0" hierarchy="10" level="1">
      <sharedItems count="4">
        <s v="Card"/>
        <s v="Cash"/>
        <s v="NetBanking"/>
        <s v="UPI"/>
      </sharedItems>
    </cacheField>
    <cacheField name="[Measures].[Count of OrderID]" caption="Count of OrderID" numFmtId="0" hierarchy="17" level="32767"/>
    <cacheField name="[Sales_Raw_Data].[Region].[Region]" caption="Region" numFmtId="0" hierarchy="2" level="1">
      <sharedItems containsSemiMixedTypes="0" containsNonDate="0" containsString="0"/>
    </cacheField>
  </cacheFields>
  <cacheHierarchies count="20">
    <cacheHierarchy uniqueName="[Sales_Raw_Data].[OrderID]" caption="OrderID" attribute="1" defaultMemberUniqueName="[Sales_Raw_Data].[OrderID].[All]" allUniqueName="[Sales_Raw_Data].[OrderID].[All]" dimensionUniqueName="[Sales_Raw_Data]" displayFolder="" count="0" memberValueDatatype="130" unbalanced="0"/>
    <cacheHierarchy uniqueName="[Sales_Raw_Data].[OrderDate]" caption="OrderDate" attribute="1" time="1" defaultMemberUniqueName="[Sales_Raw_Data].[OrderDate].[All]" allUniqueName="[Sales_Raw_Data].[OrderDate].[All]" dimensionUniqueName="[Sales_Raw_Data]" displayFolder="" count="0" memberValueDatatype="7" unbalanced="0"/>
    <cacheHierarchy uniqueName="[Sales_Raw_Data].[Region]" caption="Region" attribute="1" defaultMemberUniqueName="[Sales_Raw_Data].[Region].[All]" allUniqueName="[Sales_Raw_Data].[Region].[All]" dimensionUniqueName="[Sales_Raw_Data]" displayFolder="" count="2" memberValueDatatype="130" unbalanced="0">
      <fieldsUsage count="2">
        <fieldUsage x="-1"/>
        <fieldUsage x="2"/>
      </fieldsUsage>
    </cacheHierarchy>
    <cacheHierarchy uniqueName="[Sales_Raw_Data].[City]" caption="City" attribute="1" defaultMemberUniqueName="[Sales_Raw_Data].[City].[All]" allUniqueName="[Sales_Raw_Data].[City].[All]" dimensionUniqueName="[Sales_Raw_Data]" displayFolder="" count="0" memberValueDatatype="130" unbalanced="0"/>
    <cacheHierarchy uniqueName="[Sales_Raw_Data].[Category]" caption="Category" attribute="1" defaultMemberUniqueName="[Sales_Raw_Data].[Category].[All]" allUniqueName="[Sales_Raw_Data].[Category].[All]" dimensionUniqueName="[Sales_Raw_Data]" displayFolder="" count="2" memberValueDatatype="130" unbalanced="0"/>
    <cacheHierarchy uniqueName="[Sales_Raw_Data].[Product]" caption="Product" attribute="1" defaultMemberUniqueName="[Sales_Raw_Data].[Product].[All]" allUniqueName="[Sales_Raw_Data].[Product].[All]" dimensionUniqueName="[Sales_Raw_Data]" displayFolder="" count="0" memberValueDatatype="130" unbalanced="0"/>
    <cacheHierarchy uniqueName="[Sales_Raw_Data].[SalesRep]" caption="SalesRep" attribute="1" defaultMemberUniqueName="[Sales_Raw_Data].[SalesRep].[All]" allUniqueName="[Sales_Raw_Data].[SalesRep].[All]" dimensionUniqueName="[Sales_Raw_Data]" displayFolder="" count="0" memberValueDatatype="130" unbalanced="0"/>
    <cacheHierarchy uniqueName="[Sales_Raw_Data].[Quantity]" caption="Quantity" attribute="1" defaultMemberUniqueName="[Sales_Raw_Data].[Quantity].[All]" allUniqueName="[Sales_Raw_Data].[Quantity].[All]" dimensionUniqueName="[Sales_Raw_Data]" displayFolder="" count="0" memberValueDatatype="20" unbalanced="0"/>
    <cacheHierarchy uniqueName="[Sales_Raw_Data].[UnitPrice]" caption="UnitPrice" attribute="1" defaultMemberUniqueName="[Sales_Raw_Data].[UnitPrice].[All]" allUniqueName="[Sales_Raw_Data].[UnitPrice].[All]" dimensionUniqueName="[Sales_Raw_Data]" displayFolder="" count="0" memberValueDatatype="5" unbalanced="0"/>
    <cacheHierarchy uniqueName="[Sales_Raw_Data].[Discount]" caption="Discount" attribute="1" defaultMemberUniqueName="[Sales_Raw_Data].[Discount].[All]" allUniqueName="[Sales_Raw_Data].[Discount].[All]" dimensionUniqueName="[Sales_Raw_Data]" displayFolder="" count="0" memberValueDatatype="5" unbalanced="0"/>
    <cacheHierarchy uniqueName="[Sales_Raw_Data].[PaymentMode]" caption="PaymentMode" attribute="1" defaultMemberUniqueName="[Sales_Raw_Data].[PaymentMode].[All]" allUniqueName="[Sales_Raw_Data].[PaymentMode].[All]" dimensionUniqueName="[Sales_Raw_Data]" displayFolder="" count="2" memberValueDatatype="130" unbalanced="0">
      <fieldsUsage count="2">
        <fieldUsage x="-1"/>
        <fieldUsage x="0"/>
      </fieldsUsage>
    </cacheHierarchy>
    <cacheHierarchy uniqueName="[Sales_Raw_Data].[Sales]" caption="Sales" attribute="1" defaultMemberUniqueName="[Sales_Raw_Data].[Sales].[All]" allUniqueName="[Sales_Raw_Data].[Sales].[All]" dimensionUniqueName="[Sales_Raw_Data]" displayFolder="" count="0" memberValueDatatype="5" unbalanced="0"/>
    <cacheHierarchy uniqueName="[Sales_Raw_Data].[OrderDate (Month)]" caption="OrderDate (Month)" attribute="1" defaultMemberUniqueName="[Sales_Raw_Data].[OrderDate (Month)].[All]" allUniqueName="[Sales_Raw_Data].[OrderDate (Month)].[All]" dimensionUniqueName="[Sales_Raw_Data]" displayFolder="" count="0" memberValueDatatype="130" unbalanced="0"/>
    <cacheHierarchy uniqueName="[Sales_Raw_Data].[OrderDate (Month Index)]" caption="OrderDate (Month Index)" attribute="1" defaultMemberUniqueName="[Sales_Raw_Data].[OrderDate (Month Index)].[All]" allUniqueName="[Sales_Raw_Data].[OrderDate (Month Index)].[All]" dimensionUniqueName="[Sales_Raw_Data]" displayFolder="" count="0" memberValueDatatype="20" unbalanced="0" hidden="1"/>
    <cacheHierarchy uniqueName="[Measures].[Total_Sales]" caption="Total_Sales" measure="1" displayFolder="" measureGroup="Sales_Raw_Data" count="0"/>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Raw_Data" uniqueName="[Sales_Raw_Data]" caption="Sales_Raw_Data"/>
  </dimensions>
  <measureGroups count="1">
    <measureGroup name="Sales_Raw_Data" caption="Sales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68451851854" createdVersion="5" refreshedVersion="8" minRefreshableVersion="3" recordCount="0" supportSubquery="1" supportAdvancedDrill="1" xr:uid="{2A744D86-49BF-4117-A382-9E13CDF1A3AF}">
  <cacheSource type="external" connectionId="2"/>
  <cacheFields count="2">
    <cacheField name="[Measures].[Total_Sales]" caption="Total_Sales" numFmtId="0" hierarchy="14" level="32767"/>
    <cacheField name="[Sales_Raw_Data].[Region].[Region]" caption="Region" numFmtId="0" hierarchy="2" level="1">
      <sharedItems containsSemiMixedTypes="0" containsNonDate="0" containsString="0"/>
    </cacheField>
  </cacheFields>
  <cacheHierarchies count="20">
    <cacheHierarchy uniqueName="[Sales_Raw_Data].[OrderID]" caption="OrderID" attribute="1" defaultMemberUniqueName="[Sales_Raw_Data].[OrderID].[All]" allUniqueName="[Sales_Raw_Data].[OrderID].[All]" dimensionUniqueName="[Sales_Raw_Data]" displayFolder="" count="0" memberValueDatatype="130" unbalanced="0"/>
    <cacheHierarchy uniqueName="[Sales_Raw_Data].[OrderDate]" caption="OrderDate" attribute="1" time="1" defaultMemberUniqueName="[Sales_Raw_Data].[OrderDate].[All]" allUniqueName="[Sales_Raw_Data].[OrderDate].[All]" dimensionUniqueName="[Sales_Raw_Data]" displayFolder="" count="0" memberValueDatatype="7" unbalanced="0"/>
    <cacheHierarchy uniqueName="[Sales_Raw_Data].[Region]" caption="Region" attribute="1" defaultMemberUniqueName="[Sales_Raw_Data].[Region].[All]" allUniqueName="[Sales_Raw_Data].[Region].[All]" dimensionUniqueName="[Sales_Raw_Data]" displayFolder="" count="2" memberValueDatatype="130" unbalanced="0">
      <fieldsUsage count="2">
        <fieldUsage x="-1"/>
        <fieldUsage x="1"/>
      </fieldsUsage>
    </cacheHierarchy>
    <cacheHierarchy uniqueName="[Sales_Raw_Data].[City]" caption="City" attribute="1" defaultMemberUniqueName="[Sales_Raw_Data].[City].[All]" allUniqueName="[Sales_Raw_Data].[City].[All]" dimensionUniqueName="[Sales_Raw_Data]" displayFolder="" count="0" memberValueDatatype="130" unbalanced="0"/>
    <cacheHierarchy uniqueName="[Sales_Raw_Data].[Category]" caption="Category" attribute="1" defaultMemberUniqueName="[Sales_Raw_Data].[Category].[All]" allUniqueName="[Sales_Raw_Data].[Category].[All]" dimensionUniqueName="[Sales_Raw_Data]" displayFolder="" count="2" memberValueDatatype="130" unbalanced="0"/>
    <cacheHierarchy uniqueName="[Sales_Raw_Data].[Product]" caption="Product" attribute="1" defaultMemberUniqueName="[Sales_Raw_Data].[Product].[All]" allUniqueName="[Sales_Raw_Data].[Product].[All]" dimensionUniqueName="[Sales_Raw_Data]" displayFolder="" count="0" memberValueDatatype="130" unbalanced="0"/>
    <cacheHierarchy uniqueName="[Sales_Raw_Data].[SalesRep]" caption="SalesRep" attribute="1" defaultMemberUniqueName="[Sales_Raw_Data].[SalesRep].[All]" allUniqueName="[Sales_Raw_Data].[SalesRep].[All]" dimensionUniqueName="[Sales_Raw_Data]" displayFolder="" count="0" memberValueDatatype="130" unbalanced="0"/>
    <cacheHierarchy uniqueName="[Sales_Raw_Data].[Quantity]" caption="Quantity" attribute="1" defaultMemberUniqueName="[Sales_Raw_Data].[Quantity].[All]" allUniqueName="[Sales_Raw_Data].[Quantity].[All]" dimensionUniqueName="[Sales_Raw_Data]" displayFolder="" count="0" memberValueDatatype="20" unbalanced="0"/>
    <cacheHierarchy uniqueName="[Sales_Raw_Data].[UnitPrice]" caption="UnitPrice" attribute="1" defaultMemberUniqueName="[Sales_Raw_Data].[UnitPrice].[All]" allUniqueName="[Sales_Raw_Data].[UnitPrice].[All]" dimensionUniqueName="[Sales_Raw_Data]" displayFolder="" count="0" memberValueDatatype="5" unbalanced="0"/>
    <cacheHierarchy uniqueName="[Sales_Raw_Data].[Discount]" caption="Discount" attribute="1" defaultMemberUniqueName="[Sales_Raw_Data].[Discount].[All]" allUniqueName="[Sales_Raw_Data].[Discount].[All]" dimensionUniqueName="[Sales_Raw_Data]" displayFolder="" count="0" memberValueDatatype="5" unbalanced="0"/>
    <cacheHierarchy uniqueName="[Sales_Raw_Data].[PaymentMode]" caption="PaymentMode" attribute="1" defaultMemberUniqueName="[Sales_Raw_Data].[PaymentMode].[All]" allUniqueName="[Sales_Raw_Data].[PaymentMode].[All]" dimensionUniqueName="[Sales_Raw_Data]" displayFolder="" count="0" memberValueDatatype="130" unbalanced="0"/>
    <cacheHierarchy uniqueName="[Sales_Raw_Data].[Sales]" caption="Sales" attribute="1" defaultMemberUniqueName="[Sales_Raw_Data].[Sales].[All]" allUniqueName="[Sales_Raw_Data].[Sales].[All]" dimensionUniqueName="[Sales_Raw_Data]" displayFolder="" count="0" memberValueDatatype="5" unbalanced="0"/>
    <cacheHierarchy uniqueName="[Sales_Raw_Data].[OrderDate (Month)]" caption="OrderDate (Month)" attribute="1" defaultMemberUniqueName="[Sales_Raw_Data].[OrderDate (Month)].[All]" allUniqueName="[Sales_Raw_Data].[OrderDate (Month)].[All]" dimensionUniqueName="[Sales_Raw_Data]" displayFolder="" count="0" memberValueDatatype="130" unbalanced="0"/>
    <cacheHierarchy uniqueName="[Sales_Raw_Data].[OrderDate (Month Index)]" caption="OrderDate (Month Index)" attribute="1" defaultMemberUniqueName="[Sales_Raw_Data].[OrderDate (Month Index)].[All]" allUniqueName="[Sales_Raw_Data].[OrderDate (Month Index)].[All]" dimensionUniqueName="[Sales_Raw_Data]" displayFolder="" count="0" memberValueDatatype="20" unbalanced="0" hidden="1"/>
    <cacheHierarchy uniqueName="[Measures].[Total_Sales]" caption="Total_Sales" measure="1" displayFolder="" measureGroup="Sales_Raw_Data" count="0" oneField="1">
      <fieldsUsage count="1">
        <fieldUsage x="0"/>
      </fieldsUsage>
    </cacheHierarchy>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hidden="1">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Raw_Data" uniqueName="[Sales_Raw_Data]" caption="Sales_Raw_Data"/>
  </dimensions>
  <measureGroups count="1">
    <measureGroup name="Sales_Raw_Data" caption="Sales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68452083331" createdVersion="5" refreshedVersion="8" minRefreshableVersion="3" recordCount="0" supportSubquery="1" supportAdvancedDrill="1" xr:uid="{BC66D6C2-1DF8-4B21-884F-27317B48F361}">
  <cacheSource type="external" connectionId="2"/>
  <cacheFields count="2">
    <cacheField name="[Measures].[Count of OrderID]" caption="Count of OrderID" numFmtId="0" hierarchy="17" level="32767"/>
    <cacheField name="[Sales_Raw_Data].[Region].[Region]" caption="Region" numFmtId="0" hierarchy="2" level="1">
      <sharedItems containsSemiMixedTypes="0" containsNonDate="0" containsString="0"/>
    </cacheField>
  </cacheFields>
  <cacheHierarchies count="20">
    <cacheHierarchy uniqueName="[Sales_Raw_Data].[OrderID]" caption="OrderID" attribute="1" defaultMemberUniqueName="[Sales_Raw_Data].[OrderID].[All]" allUniqueName="[Sales_Raw_Data].[OrderID].[All]" dimensionUniqueName="[Sales_Raw_Data]" displayFolder="" count="0" memberValueDatatype="130" unbalanced="0"/>
    <cacheHierarchy uniqueName="[Sales_Raw_Data].[OrderDate]" caption="OrderDate" attribute="1" time="1" defaultMemberUniqueName="[Sales_Raw_Data].[OrderDate].[All]" allUniqueName="[Sales_Raw_Data].[OrderDate].[All]" dimensionUniqueName="[Sales_Raw_Data]" displayFolder="" count="0" memberValueDatatype="7" unbalanced="0"/>
    <cacheHierarchy uniqueName="[Sales_Raw_Data].[Region]" caption="Region" attribute="1" defaultMemberUniqueName="[Sales_Raw_Data].[Region].[All]" allUniqueName="[Sales_Raw_Data].[Region].[All]" dimensionUniqueName="[Sales_Raw_Data]" displayFolder="" count="2" memberValueDatatype="130" unbalanced="0">
      <fieldsUsage count="2">
        <fieldUsage x="-1"/>
        <fieldUsage x="1"/>
      </fieldsUsage>
    </cacheHierarchy>
    <cacheHierarchy uniqueName="[Sales_Raw_Data].[City]" caption="City" attribute="1" defaultMemberUniqueName="[Sales_Raw_Data].[City].[All]" allUniqueName="[Sales_Raw_Data].[City].[All]" dimensionUniqueName="[Sales_Raw_Data]" displayFolder="" count="0" memberValueDatatype="130" unbalanced="0"/>
    <cacheHierarchy uniqueName="[Sales_Raw_Data].[Category]" caption="Category" attribute="1" defaultMemberUniqueName="[Sales_Raw_Data].[Category].[All]" allUniqueName="[Sales_Raw_Data].[Category].[All]" dimensionUniqueName="[Sales_Raw_Data]" displayFolder="" count="2" memberValueDatatype="130" unbalanced="0"/>
    <cacheHierarchy uniqueName="[Sales_Raw_Data].[Product]" caption="Product" attribute="1" defaultMemberUniqueName="[Sales_Raw_Data].[Product].[All]" allUniqueName="[Sales_Raw_Data].[Product].[All]" dimensionUniqueName="[Sales_Raw_Data]" displayFolder="" count="0" memberValueDatatype="130" unbalanced="0"/>
    <cacheHierarchy uniqueName="[Sales_Raw_Data].[SalesRep]" caption="SalesRep" attribute="1" defaultMemberUniqueName="[Sales_Raw_Data].[SalesRep].[All]" allUniqueName="[Sales_Raw_Data].[SalesRep].[All]" dimensionUniqueName="[Sales_Raw_Data]" displayFolder="" count="0" memberValueDatatype="130" unbalanced="0"/>
    <cacheHierarchy uniqueName="[Sales_Raw_Data].[Quantity]" caption="Quantity" attribute="1" defaultMemberUniqueName="[Sales_Raw_Data].[Quantity].[All]" allUniqueName="[Sales_Raw_Data].[Quantity].[All]" dimensionUniqueName="[Sales_Raw_Data]" displayFolder="" count="0" memberValueDatatype="20" unbalanced="0"/>
    <cacheHierarchy uniqueName="[Sales_Raw_Data].[UnitPrice]" caption="UnitPrice" attribute="1" defaultMemberUniqueName="[Sales_Raw_Data].[UnitPrice].[All]" allUniqueName="[Sales_Raw_Data].[UnitPrice].[All]" dimensionUniqueName="[Sales_Raw_Data]" displayFolder="" count="0" memberValueDatatype="5" unbalanced="0"/>
    <cacheHierarchy uniqueName="[Sales_Raw_Data].[Discount]" caption="Discount" attribute="1" defaultMemberUniqueName="[Sales_Raw_Data].[Discount].[All]" allUniqueName="[Sales_Raw_Data].[Discount].[All]" dimensionUniqueName="[Sales_Raw_Data]" displayFolder="" count="0" memberValueDatatype="5" unbalanced="0"/>
    <cacheHierarchy uniqueName="[Sales_Raw_Data].[PaymentMode]" caption="PaymentMode" attribute="1" defaultMemberUniqueName="[Sales_Raw_Data].[PaymentMode].[All]" allUniqueName="[Sales_Raw_Data].[PaymentMode].[All]" dimensionUniqueName="[Sales_Raw_Data]" displayFolder="" count="0" memberValueDatatype="130" unbalanced="0"/>
    <cacheHierarchy uniqueName="[Sales_Raw_Data].[Sales]" caption="Sales" attribute="1" defaultMemberUniqueName="[Sales_Raw_Data].[Sales].[All]" allUniqueName="[Sales_Raw_Data].[Sales].[All]" dimensionUniqueName="[Sales_Raw_Data]" displayFolder="" count="0" memberValueDatatype="5" unbalanced="0"/>
    <cacheHierarchy uniqueName="[Sales_Raw_Data].[OrderDate (Month)]" caption="OrderDate (Month)" attribute="1" defaultMemberUniqueName="[Sales_Raw_Data].[OrderDate (Month)].[All]" allUniqueName="[Sales_Raw_Data].[OrderDate (Month)].[All]" dimensionUniqueName="[Sales_Raw_Data]" displayFolder="" count="0" memberValueDatatype="130" unbalanced="0"/>
    <cacheHierarchy uniqueName="[Sales_Raw_Data].[OrderDate (Month Index)]" caption="OrderDate (Month Index)" attribute="1" defaultMemberUniqueName="[Sales_Raw_Data].[OrderDate (Month Index)].[All]" allUniqueName="[Sales_Raw_Data].[OrderDate (Month Index)].[All]" dimensionUniqueName="[Sales_Raw_Data]" displayFolder="" count="0" memberValueDatatype="20" unbalanced="0" hidden="1"/>
    <cacheHierarchy uniqueName="[Measures].[Total_Sales]" caption="Total_Sales" measure="1" displayFolder="" measureGroup="Sales_Raw_Data" count="0"/>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Raw_Data" uniqueName="[Sales_Raw_Data]" caption="Sales_Raw_Data"/>
  </dimensions>
  <measureGroups count="1">
    <measureGroup name="Sales_Raw_Data" caption="Sales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68452314816" createdVersion="5" refreshedVersion="8" minRefreshableVersion="3" recordCount="0" supportSubquery="1" supportAdvancedDrill="1" xr:uid="{BDE9044A-5D33-4207-BD6F-DC6EE2A0BD95}">
  <cacheSource type="external" connectionId="2"/>
  <cacheFields count="2">
    <cacheField name="[Measures].[Sum of Quantity]" caption="Sum of Quantity" numFmtId="0" hierarchy="19" level="32767"/>
    <cacheField name="[Sales_Raw_Data].[Region].[Region]" caption="Region" numFmtId="0" hierarchy="2" level="1">
      <sharedItems containsSemiMixedTypes="0" containsNonDate="0" containsString="0"/>
    </cacheField>
  </cacheFields>
  <cacheHierarchies count="20">
    <cacheHierarchy uniqueName="[Sales_Raw_Data].[OrderID]" caption="OrderID" attribute="1" defaultMemberUniqueName="[Sales_Raw_Data].[OrderID].[All]" allUniqueName="[Sales_Raw_Data].[OrderID].[All]" dimensionUniqueName="[Sales_Raw_Data]" displayFolder="" count="0" memberValueDatatype="130" unbalanced="0"/>
    <cacheHierarchy uniqueName="[Sales_Raw_Data].[OrderDate]" caption="OrderDate" attribute="1" time="1" defaultMemberUniqueName="[Sales_Raw_Data].[OrderDate].[All]" allUniqueName="[Sales_Raw_Data].[OrderDate].[All]" dimensionUniqueName="[Sales_Raw_Data]" displayFolder="" count="0" memberValueDatatype="7" unbalanced="0"/>
    <cacheHierarchy uniqueName="[Sales_Raw_Data].[Region]" caption="Region" attribute="1" defaultMemberUniqueName="[Sales_Raw_Data].[Region].[All]" allUniqueName="[Sales_Raw_Data].[Region].[All]" dimensionUniqueName="[Sales_Raw_Data]" displayFolder="" count="2" memberValueDatatype="130" unbalanced="0">
      <fieldsUsage count="2">
        <fieldUsage x="-1"/>
        <fieldUsage x="1"/>
      </fieldsUsage>
    </cacheHierarchy>
    <cacheHierarchy uniqueName="[Sales_Raw_Data].[City]" caption="City" attribute="1" defaultMemberUniqueName="[Sales_Raw_Data].[City].[All]" allUniqueName="[Sales_Raw_Data].[City].[All]" dimensionUniqueName="[Sales_Raw_Data]" displayFolder="" count="0" memberValueDatatype="130" unbalanced="0"/>
    <cacheHierarchy uniqueName="[Sales_Raw_Data].[Category]" caption="Category" attribute="1" defaultMemberUniqueName="[Sales_Raw_Data].[Category].[All]" allUniqueName="[Sales_Raw_Data].[Category].[All]" dimensionUniqueName="[Sales_Raw_Data]" displayFolder="" count="2" memberValueDatatype="130" unbalanced="0"/>
    <cacheHierarchy uniqueName="[Sales_Raw_Data].[Product]" caption="Product" attribute="1" defaultMemberUniqueName="[Sales_Raw_Data].[Product].[All]" allUniqueName="[Sales_Raw_Data].[Product].[All]" dimensionUniqueName="[Sales_Raw_Data]" displayFolder="" count="0" memberValueDatatype="130" unbalanced="0"/>
    <cacheHierarchy uniqueName="[Sales_Raw_Data].[SalesRep]" caption="SalesRep" attribute="1" defaultMemberUniqueName="[Sales_Raw_Data].[SalesRep].[All]" allUniqueName="[Sales_Raw_Data].[SalesRep].[All]" dimensionUniqueName="[Sales_Raw_Data]" displayFolder="" count="0" memberValueDatatype="130" unbalanced="0"/>
    <cacheHierarchy uniqueName="[Sales_Raw_Data].[Quantity]" caption="Quantity" attribute="1" defaultMemberUniqueName="[Sales_Raw_Data].[Quantity].[All]" allUniqueName="[Sales_Raw_Data].[Quantity].[All]" dimensionUniqueName="[Sales_Raw_Data]" displayFolder="" count="0" memberValueDatatype="20" unbalanced="0"/>
    <cacheHierarchy uniqueName="[Sales_Raw_Data].[UnitPrice]" caption="UnitPrice" attribute="1" defaultMemberUniqueName="[Sales_Raw_Data].[UnitPrice].[All]" allUniqueName="[Sales_Raw_Data].[UnitPrice].[All]" dimensionUniqueName="[Sales_Raw_Data]" displayFolder="" count="0" memberValueDatatype="5" unbalanced="0"/>
    <cacheHierarchy uniqueName="[Sales_Raw_Data].[Discount]" caption="Discount" attribute="1" defaultMemberUniqueName="[Sales_Raw_Data].[Discount].[All]" allUniqueName="[Sales_Raw_Data].[Discount].[All]" dimensionUniqueName="[Sales_Raw_Data]" displayFolder="" count="0" memberValueDatatype="5" unbalanced="0"/>
    <cacheHierarchy uniqueName="[Sales_Raw_Data].[PaymentMode]" caption="PaymentMode" attribute="1" defaultMemberUniqueName="[Sales_Raw_Data].[PaymentMode].[All]" allUniqueName="[Sales_Raw_Data].[PaymentMode].[All]" dimensionUniqueName="[Sales_Raw_Data]" displayFolder="" count="0" memberValueDatatype="130" unbalanced="0"/>
    <cacheHierarchy uniqueName="[Sales_Raw_Data].[Sales]" caption="Sales" attribute="1" defaultMemberUniqueName="[Sales_Raw_Data].[Sales].[All]" allUniqueName="[Sales_Raw_Data].[Sales].[All]" dimensionUniqueName="[Sales_Raw_Data]" displayFolder="" count="0" memberValueDatatype="5" unbalanced="0"/>
    <cacheHierarchy uniqueName="[Sales_Raw_Data].[OrderDate (Month)]" caption="OrderDate (Month)" attribute="1" defaultMemberUniqueName="[Sales_Raw_Data].[OrderDate (Month)].[All]" allUniqueName="[Sales_Raw_Data].[OrderDate (Month)].[All]" dimensionUniqueName="[Sales_Raw_Data]" displayFolder="" count="0" memberValueDatatype="130" unbalanced="0"/>
    <cacheHierarchy uniqueName="[Sales_Raw_Data].[OrderDate (Month Index)]" caption="OrderDate (Month Index)" attribute="1" defaultMemberUniqueName="[Sales_Raw_Data].[OrderDate (Month Index)].[All]" allUniqueName="[Sales_Raw_Data].[OrderDate (Month Index)].[All]" dimensionUniqueName="[Sales_Raw_Data]" displayFolder="" count="0" memberValueDatatype="20" unbalanced="0" hidden="1"/>
    <cacheHierarchy uniqueName="[Measures].[Total_Sales]" caption="Total_Sales" measure="1" displayFolder="" measureGroup="Sales_Raw_Data" count="0"/>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hidden="1">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Raw_Data" uniqueName="[Sales_Raw_Data]" caption="Sales_Raw_Data"/>
  </dimensions>
  <measureGroups count="1">
    <measureGroup name="Sales_Raw_Data" caption="Sales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44570833335" createdVersion="3" refreshedVersion="8" minRefreshableVersion="3" recordCount="0" supportSubquery="1" supportAdvancedDrill="1" xr:uid="{B10CBE63-16C4-4F84-8988-AD9F76236D9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Sales_Raw_Data].[OrderID]" caption="OrderID" attribute="1" defaultMemberUniqueName="[Sales_Raw_Data].[OrderID].[All]" allUniqueName="[Sales_Raw_Data].[OrderID].[All]" dimensionUniqueName="[Sales_Raw_Data]" displayFolder="" count="0" memberValueDatatype="130" unbalanced="0"/>
    <cacheHierarchy uniqueName="[Sales_Raw_Data].[OrderDate]" caption="OrderDate" attribute="1" time="1" defaultMemberUniqueName="[Sales_Raw_Data].[OrderDate].[All]" allUniqueName="[Sales_Raw_Data].[OrderDate].[All]" dimensionUniqueName="[Sales_Raw_Data]" displayFolder="" count="0" memberValueDatatype="7" unbalanced="0"/>
    <cacheHierarchy uniqueName="[Sales_Raw_Data].[Region]" caption="Region" attribute="1" defaultMemberUniqueName="[Sales_Raw_Data].[Region].[All]" allUniqueName="[Sales_Raw_Data].[Region].[All]" dimensionUniqueName="[Sales_Raw_Data]" displayFolder="" count="2" memberValueDatatype="130" unbalanced="0"/>
    <cacheHierarchy uniqueName="[Sales_Raw_Data].[City]" caption="City" attribute="1" defaultMemberUniqueName="[Sales_Raw_Data].[City].[All]" allUniqueName="[Sales_Raw_Data].[City].[All]" dimensionUniqueName="[Sales_Raw_Data]" displayFolder="" count="2" memberValueDatatype="130" unbalanced="0"/>
    <cacheHierarchy uniqueName="[Sales_Raw_Data].[Category]" caption="Category" attribute="1" defaultMemberUniqueName="[Sales_Raw_Data].[Category].[All]" allUniqueName="[Sales_Raw_Data].[Category].[All]" dimensionUniqueName="[Sales_Raw_Data]" displayFolder="" count="2" memberValueDatatype="130" unbalanced="0"/>
    <cacheHierarchy uniqueName="[Sales_Raw_Data].[Product]" caption="Product" attribute="1" defaultMemberUniqueName="[Sales_Raw_Data].[Product].[All]" allUniqueName="[Sales_Raw_Data].[Product].[All]" dimensionUniqueName="[Sales_Raw_Data]" displayFolder="" count="0" memberValueDatatype="130" unbalanced="0"/>
    <cacheHierarchy uniqueName="[Sales_Raw_Data].[SalesRep]" caption="SalesRep" attribute="1" defaultMemberUniqueName="[Sales_Raw_Data].[SalesRep].[All]" allUniqueName="[Sales_Raw_Data].[SalesRep].[All]" dimensionUniqueName="[Sales_Raw_Data]" displayFolder="" count="0" memberValueDatatype="130" unbalanced="0"/>
    <cacheHierarchy uniqueName="[Sales_Raw_Data].[Quantity]" caption="Quantity" attribute="1" defaultMemberUniqueName="[Sales_Raw_Data].[Quantity].[All]" allUniqueName="[Sales_Raw_Data].[Quantity].[All]" dimensionUniqueName="[Sales_Raw_Data]" displayFolder="" count="0" memberValueDatatype="20" unbalanced="0"/>
    <cacheHierarchy uniqueName="[Sales_Raw_Data].[UnitPrice]" caption="UnitPrice" attribute="1" defaultMemberUniqueName="[Sales_Raw_Data].[UnitPrice].[All]" allUniqueName="[Sales_Raw_Data].[UnitPrice].[All]" dimensionUniqueName="[Sales_Raw_Data]" displayFolder="" count="0" memberValueDatatype="5" unbalanced="0"/>
    <cacheHierarchy uniqueName="[Sales_Raw_Data].[Discount]" caption="Discount" attribute="1" defaultMemberUniqueName="[Sales_Raw_Data].[Discount].[All]" allUniqueName="[Sales_Raw_Data].[Discount].[All]" dimensionUniqueName="[Sales_Raw_Data]" displayFolder="" count="0" memberValueDatatype="5" unbalanced="0"/>
    <cacheHierarchy uniqueName="[Sales_Raw_Data].[PaymentMode]" caption="PaymentMode" attribute="1" defaultMemberUniqueName="[Sales_Raw_Data].[PaymentMode].[All]" allUniqueName="[Sales_Raw_Data].[PaymentMode].[All]" dimensionUniqueName="[Sales_Raw_Data]" displayFolder="" count="0" memberValueDatatype="130" unbalanced="0"/>
    <cacheHierarchy uniqueName="[Sales_Raw_Data].[Sales]" caption="Sales" attribute="1" defaultMemberUniqueName="[Sales_Raw_Data].[Sales].[All]" allUniqueName="[Sales_Raw_Data].[Sales].[All]" dimensionUniqueName="[Sales_Raw_Data]" displayFolder="" count="0" memberValueDatatype="5" unbalanced="0"/>
    <cacheHierarchy uniqueName="[Sales_Raw_Data].[OrderDate (Month)]" caption="OrderDate (Month)" attribute="1" defaultMemberUniqueName="[Sales_Raw_Data].[OrderDate (Month)].[All]" allUniqueName="[Sales_Raw_Data].[OrderDate (Month)].[All]" dimensionUniqueName="[Sales_Raw_Data]" displayFolder="" count="0" memberValueDatatype="130" unbalanced="0"/>
    <cacheHierarchy uniqueName="[Sales_Raw_Data].[OrderDate (Month Index)]" caption="OrderDate (Month Index)" attribute="1" defaultMemberUniqueName="[Sales_Raw_Data].[OrderDate (Month Index)].[All]" allUniqueName="[Sales_Raw_Data].[OrderDate (Month Index)].[All]" dimensionUniqueName="[Sales_Raw_Data]" displayFolder="" count="0" memberValueDatatype="20" unbalanced="0" hidden="1"/>
    <cacheHierarchy uniqueName="[Measures].[Total_Sales]" caption="Total_Sales" measure="1" displayFolder="" measureGroup="Sales_Raw_Data" count="0"/>
    <cacheHierarchy uniqueName="[Measures].[__XL_Count Sales_Raw_Data]" caption="__XL_Count Sales_Raw_Data" measure="1" displayFolder="" measureGroup="Sales_Raw_Data" count="0" hidden="1"/>
    <cacheHierarchy uniqueName="[Measures].[__No measures defined]" caption="__No measures defined" measure="1" displayFolder="" count="0" hidden="1"/>
    <cacheHierarchy uniqueName="[Measures].[Count of OrderID]" caption="Count of OrderID" measure="1" displayFolder="" measureGroup="Sales_Raw_Data" count="0" hidden="1">
      <extLst>
        <ext xmlns:x15="http://schemas.microsoft.com/office/spreadsheetml/2010/11/main" uri="{B97F6D7D-B522-45F9-BDA1-12C45D357490}">
          <x15:cacheHierarchy aggregatedColumn="0"/>
        </ext>
      </extLst>
    </cacheHierarchy>
    <cacheHierarchy uniqueName="[Measures].[Count of SalesRep]" caption="Count of SalesRep" measure="1" displayFolder="" measureGroup="Sales_Raw_Data"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Raw_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4821962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CACC99-8D28-428D-93D6-0AFEDEA55148}" name="PivotTable13" cacheId="735" applyNumberFormats="0" applyBorderFormats="0" applyFontFormats="0" applyPatternFormats="0" applyAlignmentFormats="0" applyWidthHeightFormats="1" dataCaption="Values" tag="eedadfa2-5bef-4cbc-81c2-1d9b870df6a5" updatedVersion="8" minRefreshableVersion="3" useAutoFormatting="1" itemPrintTitles="1" createdVersion="5" indent="0" compact="0" compactData="0" multipleFieldFilters="0">
  <location ref="I57:N71" firstHeaderRow="1" firstDataRow="2" firstDataCol="1"/>
  <pivotFields count="3">
    <pivotField name="Month" axis="axisRow" compact="0" allDrilled="1" outline="0" subtotalTop="0" showAll="0" dataSourceSort="1" defaultAttributeDrillState="1">
      <items count="13">
        <item x="0"/>
        <item x="1"/>
        <item x="2"/>
        <item x="3"/>
        <item x="4"/>
        <item x="5"/>
        <item x="6"/>
        <item x="7"/>
        <item x="8"/>
        <item x="9"/>
        <item x="10"/>
        <item x="11"/>
        <item t="default"/>
      </items>
    </pivotField>
    <pivotField axis="axisCol" compact="0" allDrilled="1" outline="0" subtotalTop="0" showAll="0" dataSourceSort="1" defaultAttributeDrillState="1">
      <items count="5">
        <item x="0"/>
        <item x="1"/>
        <item x="2"/>
        <item x="3"/>
        <item t="default"/>
      </items>
    </pivotField>
    <pivotField dataField="1" compact="0" outline="0" subtotalTop="0" showAll="0"/>
  </pivotFields>
  <rowFields count="1">
    <field x="0"/>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Sum of Quantity" fld="2" baseField="0" baseItem="0"/>
  </dataField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Month"/>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_Data]"/>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3DF80B-C0A1-49C5-B762-51FD353E37C1}" name="PivotTable12" cacheId="732" applyNumberFormats="0" applyBorderFormats="0" applyFontFormats="0" applyPatternFormats="0" applyAlignmentFormats="0" applyWidthHeightFormats="1" dataCaption="Values" tag="2c1055be-c616-4a1a-9168-a846d4b29fa4" updatedVersion="8" minRefreshableVersion="3" useAutoFormatting="1" itemPrintTitles="1" createdVersion="5" indent="0" compact="0" compactData="0" multipleFieldFilters="0">
  <location ref="B57:G71" firstHeaderRow="1" firstDataRow="2" firstDataCol="1"/>
  <pivotFields count="3">
    <pivotField name="Month" axis="axisRow" compact="0" allDrilled="1" outline="0" subtotalTop="0" showAll="0" dataSourceSort="1" defaultAttributeDrillState="1">
      <items count="13">
        <item x="0"/>
        <item x="1"/>
        <item x="2"/>
        <item x="3"/>
        <item x="4"/>
        <item x="5"/>
        <item x="6"/>
        <item x="7"/>
        <item x="8"/>
        <item x="9"/>
        <item x="10"/>
        <item x="11"/>
        <item t="default"/>
      </items>
    </pivotField>
    <pivotField axis="axisCol" compact="0" allDrilled="1" outline="0" subtotalTop="0" showAll="0" dataSourceSort="1" defaultAttributeDrillState="1">
      <items count="5">
        <item x="0"/>
        <item x="1"/>
        <item x="2"/>
        <item x="3"/>
        <item t="default"/>
      </items>
    </pivotField>
    <pivotField dataField="1" compact="0" outline="0" subtotalTop="0" showAll="0"/>
  </pivotFields>
  <rowFields count="1">
    <field x="0"/>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Count of OrderID" fld="2" subtotal="count" baseField="0" baseItem="0"/>
  </dataField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Month"/>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_Data]"/>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BFFC1E-C99D-4F60-86D9-2B0E32C4D3AB}" name="PivotTable11" cacheId="729" applyNumberFormats="0" applyBorderFormats="0" applyFontFormats="0" applyPatternFormats="0" applyAlignmentFormats="0" applyWidthHeightFormats="1" dataCaption="Values" tag="14a9c082-97fa-4a07-b802-7ee6e81f05b7" updatedVersion="8" minRefreshableVersion="3" useAutoFormatting="1" itemPrintTitles="1" createdVersion="5" indent="0" compact="0" compactData="0" multipleFieldFilters="0">
  <location ref="E38:J52" firstHeaderRow="1" firstDataRow="2" firstDataCol="1"/>
  <pivotFields count="3">
    <pivotField name="Month" axis="axisRow" compact="0" allDrilled="1" outline="0" subtotalTop="0" showAll="0" dataSourceSort="1" defaultAttributeDrillState="1">
      <items count="13">
        <item x="0"/>
        <item x="1"/>
        <item x="2"/>
        <item x="3"/>
        <item x="4"/>
        <item x="5"/>
        <item x="6"/>
        <item x="7"/>
        <item x="8"/>
        <item x="9"/>
        <item x="10"/>
        <item x="11"/>
        <item t="default"/>
      </items>
    </pivotField>
    <pivotField dataField="1" compact="0" outline="0" subtotalTop="0" showAll="0"/>
    <pivotField axis="axisCol" compact="0" allDrilled="1" outline="0" subtotalTop="0" showAll="0" dataSourceSort="1" defaultAttributeDrillState="1">
      <items count="5">
        <item x="0"/>
        <item x="1"/>
        <item x="2"/>
        <item x="3"/>
        <item t="default"/>
      </items>
    </pivotField>
  </pivotFields>
  <rowFields count="1">
    <field x="0"/>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fld="1" subtotal="count" baseField="0" baseItem="0"/>
  </dataField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Month"/>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_Data]"/>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247F66-1C1C-4C99-B626-F86E6DCFA4EA}" name="PivotTable10" cacheId="726" applyNumberFormats="0" applyBorderFormats="0" applyFontFormats="0" applyPatternFormats="0" applyAlignmentFormats="0" applyWidthHeightFormats="1" dataCaption="Values" tag="5a1f9be9-bf02-43bb-8b7d-d9d1fb71d14e" updatedVersion="8" minRefreshableVersion="3" useAutoFormatting="1" itemPrintTitles="1" createdVersion="5" indent="0" compact="0" compactData="0" multipleFieldFilters="0" chartFormat="7">
  <location ref="B38:C51" firstHeaderRow="1" firstDataRow="1" firstDataCol="1"/>
  <pivotFields count="3">
    <pivotField name="Month" axis="axisRow" compact="0" allDrilled="1" outline="0" subtotalTop="0" showAll="0" dataSourceSort="1" defaultAttributeDrillState="1">
      <items count="13">
        <item x="0"/>
        <item x="1"/>
        <item x="2"/>
        <item x="3"/>
        <item x="4"/>
        <item x="5"/>
        <item x="6"/>
        <item x="7"/>
        <item x="8"/>
        <item x="9"/>
        <item x="10"/>
        <item x="11"/>
        <item t="default"/>
      </items>
    </pivotField>
    <pivotField dataField="1" compact="0" outline="0" subtotalTop="0" showAll="0"/>
    <pivotField compact="0" allDrilled="1" outline="0" subtotalTop="0"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2">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0" count="1" selected="0">
            <x v="1"/>
          </reference>
        </references>
      </pivotArea>
    </chartFormat>
    <chartFormat chart="6" format="28">
      <pivotArea type="data" outline="0" fieldPosition="0">
        <references count="2">
          <reference field="4294967294" count="1" selected="0">
            <x v="0"/>
          </reference>
          <reference field="0" count="1" selected="0">
            <x v="2"/>
          </reference>
        </references>
      </pivotArea>
    </chartFormat>
    <chartFormat chart="6" format="29">
      <pivotArea type="data" outline="0" fieldPosition="0">
        <references count="2">
          <reference field="4294967294" count="1" selected="0">
            <x v="0"/>
          </reference>
          <reference field="0" count="1" selected="0">
            <x v="3"/>
          </reference>
        </references>
      </pivotArea>
    </chartFormat>
    <chartFormat chart="6" format="30">
      <pivotArea type="data" outline="0" fieldPosition="0">
        <references count="2">
          <reference field="4294967294" count="1" selected="0">
            <x v="0"/>
          </reference>
          <reference field="0" count="1" selected="0">
            <x v="4"/>
          </reference>
        </references>
      </pivotArea>
    </chartFormat>
    <chartFormat chart="6" format="31">
      <pivotArea type="data" outline="0" fieldPosition="0">
        <references count="2">
          <reference field="4294967294" count="1" selected="0">
            <x v="0"/>
          </reference>
          <reference field="0" count="1" selected="0">
            <x v="5"/>
          </reference>
        </references>
      </pivotArea>
    </chartFormat>
    <chartFormat chart="6" format="32">
      <pivotArea type="data" outline="0" fieldPosition="0">
        <references count="2">
          <reference field="4294967294" count="1" selected="0">
            <x v="0"/>
          </reference>
          <reference field="0" count="1" selected="0">
            <x v="6"/>
          </reference>
        </references>
      </pivotArea>
    </chartFormat>
    <chartFormat chart="6" format="33">
      <pivotArea type="data" outline="0" fieldPosition="0">
        <references count="2">
          <reference field="4294967294" count="1" selected="0">
            <x v="0"/>
          </reference>
          <reference field="0" count="1" selected="0">
            <x v="7"/>
          </reference>
        </references>
      </pivotArea>
    </chartFormat>
    <chartFormat chart="6" format="34">
      <pivotArea type="data" outline="0" fieldPosition="0">
        <references count="2">
          <reference field="4294967294" count="1" selected="0">
            <x v="0"/>
          </reference>
          <reference field="0" count="1" selected="0">
            <x v="8"/>
          </reference>
        </references>
      </pivotArea>
    </chartFormat>
    <chartFormat chart="6" format="35">
      <pivotArea type="data" outline="0" fieldPosition="0">
        <references count="2">
          <reference field="4294967294" count="1" selected="0">
            <x v="0"/>
          </reference>
          <reference field="0" count="1" selected="0">
            <x v="9"/>
          </reference>
        </references>
      </pivotArea>
    </chartFormat>
    <chartFormat chart="6" format="36">
      <pivotArea type="data" outline="0" fieldPosition="0">
        <references count="2">
          <reference field="4294967294" count="1" selected="0">
            <x v="0"/>
          </reference>
          <reference field="0" count="1" selected="0">
            <x v="10"/>
          </reference>
        </references>
      </pivotArea>
    </chartFormat>
    <chartFormat chart="6" format="37">
      <pivotArea type="data" outline="0" fieldPosition="0">
        <references count="2">
          <reference field="4294967294" count="1" selected="0">
            <x v="0"/>
          </reference>
          <reference field="0" count="1" selected="0">
            <x v="11"/>
          </reference>
        </references>
      </pivotArea>
    </chartFormat>
  </chartFormat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_Data]"/>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59B6C5-51C1-48E2-AEC9-C45FD0F1E3C8}" name="PivotTable9" cacheId="750" applyNumberFormats="0" applyBorderFormats="0" applyFontFormats="0" applyPatternFormats="0" applyAlignmentFormats="0" applyWidthHeightFormats="1" dataCaption="Values" tag="533a82e6-9bbc-4777-b5c2-34114fb18696" updatedVersion="8" minRefreshableVersion="3" useAutoFormatting="1" itemPrintTitles="1" createdVersion="5" indent="0" compact="0" compactData="0" multipleFieldFilters="0">
  <location ref="K17:L22" firstHeaderRow="1" firstDataRow="1" firstDataCol="1"/>
  <pivotFields count="3">
    <pivotField axis="axisRow" compact="0" allDrilled="1" outline="0" subtotalTop="0" showAll="0" dataSourceSort="1" defaultAttributeDrillState="1">
      <items count="5">
        <item x="0"/>
        <item x="1"/>
        <item x="2"/>
        <item x="3"/>
        <item t="default"/>
      </items>
    </pivotField>
    <pivotField dataField="1" compact="0" outline="0" subtotalTop="0" showAll="0"/>
    <pivotField compact="0" allDrilled="1" outline="0" subtotalTop="0" showAll="0" dataSourceSort="1" defaultAttributeDrillState="1"/>
  </pivotFields>
  <rowFields count="1">
    <field x="0"/>
  </rowFields>
  <rowItems count="5">
    <i>
      <x/>
    </i>
    <i>
      <x v="1"/>
    </i>
    <i>
      <x v="2"/>
    </i>
    <i>
      <x v="3"/>
    </i>
    <i t="grand">
      <x/>
    </i>
  </rowItems>
  <colItems count="1">
    <i/>
  </colItems>
  <dataFields count="1">
    <dataField name="Count of OrderID" fld="1" subtotal="count" baseField="0" baseItem="0"/>
  </dataField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_Data]"/>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3967E8-C84A-4A90-B436-265EF527BC7D}" name="PivotTable8" cacheId="747" applyNumberFormats="0" applyBorderFormats="0" applyFontFormats="0" applyPatternFormats="0" applyAlignmentFormats="0" applyWidthHeightFormats="1" dataCaption="Values" tag="fd9ddb1b-0c83-426c-a4e7-8938d6110292" updatedVersion="8" minRefreshableVersion="3" useAutoFormatting="1" itemPrintTitles="1" createdVersion="5" indent="0" compact="0" compactData="0" multipleFieldFilters="0" chartFormat="4">
  <location ref="H17:I26" firstHeaderRow="1" firstDataRow="1" firstDataCol="1"/>
  <pivotFields count="3">
    <pivotField dataField="1" compact="0" outline="0" subtotalTop="0" showAll="0"/>
    <pivotField axis="axisRow" compact="0" allDrilled="1" outline="0" subtotalTop="0" showAll="0" dataSourceSort="1" defaultAttributeDrillState="1">
      <items count="9">
        <item x="0"/>
        <item x="1"/>
        <item x="2"/>
        <item x="3"/>
        <item x="4"/>
        <item x="5"/>
        <item x="6"/>
        <item x="7"/>
        <item t="default"/>
      </items>
    </pivotField>
    <pivotField compact="0" allDrilled="1" outline="0" subtotalTop="0" showAll="0" dataSourceSort="1"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_Data]"/>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2BEFD3-CCDF-4DF3-B997-A74EF378FB1F}" name="PivotTable7" cacheId="744" applyNumberFormats="0" applyBorderFormats="0" applyFontFormats="0" applyPatternFormats="0" applyAlignmentFormats="0" applyWidthHeightFormats="1" dataCaption="Values" tag="1c52493c-815a-40a4-8554-0c92ff6a483d" updatedVersion="8" minRefreshableVersion="3" useAutoFormatting="1" itemPrintTitles="1" createdVersion="5" indent="0" compact="0" compactData="0" multipleFieldFilters="0" chartFormat="6">
  <location ref="E17:F34" firstHeaderRow="1" firstDataRow="1" firstDataCol="1"/>
  <pivotFields count="3">
    <pivotField dataField="1" compact="0" outline="0" subtotalTop="0" showAll="0"/>
    <pivotField axis="axisRow" compact="0" allDrilled="1" outline="0" subtotalTop="0" showAll="0" dataSourceSort="1" defaultAttributeDrillState="1">
      <items count="17">
        <item x="0"/>
        <item x="1"/>
        <item x="2"/>
        <item x="3"/>
        <item x="4"/>
        <item x="5"/>
        <item x="6"/>
        <item x="7"/>
        <item x="8"/>
        <item x="9"/>
        <item x="10"/>
        <item x="11"/>
        <item x="12"/>
        <item x="13"/>
        <item x="14"/>
        <item x="15"/>
        <item t="default"/>
      </items>
    </pivotField>
    <pivotField compact="0" allDrilled="1" outline="0" subtotalTop="0" showAll="0" dataSourceSort="1" defaultAttributeDrillState="1"/>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fld="0"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_Data]"/>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EFC9F2-13E7-4DE4-BB0E-1F88FB6533DC}" name="PivotTable6" cacheId="741" applyNumberFormats="0" applyBorderFormats="0" applyFontFormats="0" applyPatternFormats="0" applyAlignmentFormats="0" applyWidthHeightFormats="1" dataCaption="Values" tag="03daf090-e3f7-44cb-88bc-5fd0440e4a6a" updatedVersion="8" minRefreshableVersion="3" useAutoFormatting="1" itemPrintTitles="1" createdVersion="5" indent="0" compact="0" compactData="0" multipleFieldFilters="0" chartFormat="6">
  <location ref="B17:C30" firstHeaderRow="1" firstDataRow="1" firstDataCol="1"/>
  <pivotFields count="3">
    <pivotField dataField="1" compact="0" outline="0" subtotalTop="0" showAll="0"/>
    <pivotField axis="axisRow" compact="0" allDrilled="1" outline="0" subtotalTop="0" showAll="0" sortType="ascending" dataSourceSort="1"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compact="0" allDrilled="1" outline="0" subtotalTop="0" showAll="0" dataSourceSort="1" defaultAttributeDrillState="1"/>
  </pivotFields>
  <rowFields count="1">
    <field x="1"/>
  </rowFields>
  <rowItems count="13">
    <i>
      <x v="7"/>
    </i>
    <i>
      <x v="9"/>
    </i>
    <i>
      <x/>
    </i>
    <i>
      <x v="10"/>
    </i>
    <i>
      <x v="4"/>
    </i>
    <i>
      <x v="1"/>
    </i>
    <i>
      <x v="11"/>
    </i>
    <i>
      <x v="2"/>
    </i>
    <i>
      <x v="5"/>
    </i>
    <i>
      <x v="8"/>
    </i>
    <i>
      <x v="6"/>
    </i>
    <i>
      <x v="3"/>
    </i>
    <i t="grand">
      <x/>
    </i>
  </rowItems>
  <colItems count="1">
    <i/>
  </colItems>
  <dataFields count="1">
    <dataField fld="0" subtotal="count" baseField="0" baseItem="0"/>
  </dataFields>
  <chartFormats count="1">
    <chartFormat chart="5" format="4"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_Data]"/>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4C5CC0-CA8E-4E02-BA46-7AFD8E8B4302}" name="PivotTable5" cacheId="738" applyNumberFormats="0" applyBorderFormats="0" applyFontFormats="0" applyPatternFormats="0" applyAlignmentFormats="0" applyWidthHeightFormats="1" dataCaption="Values" tag="120d6064-3053-4668-9c43-179024db0255" updatedVersion="8" minRefreshableVersion="3" useAutoFormatting="1" itemPrintTitles="1" createdVersion="5" indent="0" compact="0" compactData="0" multipleFieldFilters="0" chartFormat="6">
  <location ref="E8:F13" firstHeaderRow="1" firstDataRow="1" firstDataCol="1"/>
  <pivotFields count="2">
    <pivotField dataField="1" compact="0" outline="0" subtotalTop="0" showAll="0"/>
    <pivotField axis="axisRow" compact="0" allDrilled="1" outline="0" subtotalTop="0" showAll="0" dataSourceSort="1" defaultAttributeDrillState="1">
      <items count="5">
        <item x="0"/>
        <item x="1"/>
        <item x="2"/>
        <item x="3"/>
        <item t="default"/>
      </items>
    </pivotField>
  </pivotFields>
  <rowFields count="1">
    <field x="1"/>
  </rowFields>
  <rowItems count="5">
    <i>
      <x/>
    </i>
    <i>
      <x v="1"/>
    </i>
    <i>
      <x v="2"/>
    </i>
    <i>
      <x v="3"/>
    </i>
    <i t="grand">
      <x/>
    </i>
  </rowItems>
  <colItems count="1">
    <i/>
  </colItems>
  <dataFields count="1">
    <dataField fld="0" subtotal="count" baseField="0" baseItem="0"/>
  </dataFields>
  <chartFormats count="5">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 count="1" selected="0">
            <x v="0"/>
          </reference>
        </references>
      </pivotArea>
    </chartFormat>
    <chartFormat chart="5" format="18">
      <pivotArea type="data" outline="0" fieldPosition="0">
        <references count="2">
          <reference field="4294967294" count="1" selected="0">
            <x v="0"/>
          </reference>
          <reference field="1" count="1" selected="0">
            <x v="1"/>
          </reference>
        </references>
      </pivotArea>
    </chartFormat>
    <chartFormat chart="5" format="19">
      <pivotArea type="data" outline="0" fieldPosition="0">
        <references count="2">
          <reference field="4294967294" count="1" selected="0">
            <x v="0"/>
          </reference>
          <reference field="1" count="1" selected="0">
            <x v="2"/>
          </reference>
        </references>
      </pivotArea>
    </chartFormat>
    <chartFormat chart="5" format="20">
      <pivotArea type="data" outline="0" fieldPosition="0">
        <references count="2">
          <reference field="4294967294" count="1" selected="0">
            <x v="0"/>
          </reference>
          <reference field="1" count="1" selected="0">
            <x v="3"/>
          </reference>
        </references>
      </pivotArea>
    </chartFormat>
  </chartFormat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_Data]"/>
      </x15:pivotTableUISettings>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C84CF5-58E0-4A1A-839A-1C91D2118C85}" name="PivotTable4" cacheId="723" applyNumberFormats="0" applyBorderFormats="0" applyFontFormats="0" applyPatternFormats="0" applyAlignmentFormats="0" applyWidthHeightFormats="1" dataCaption="Values" tag="439d55c6-fbc0-4f03-a024-cee049ab3e13" updatedVersion="8" minRefreshableVersion="3" useAutoFormatting="1" itemPrintTitles="1" createdVersion="5" indent="0" compact="0" compactData="0" multipleFieldFilters="0" chartFormat="8">
  <location ref="B8:C13" firstHeaderRow="1" firstDataRow="1" firstDataCol="1"/>
  <pivotFields count="3">
    <pivotField dataField="1" compact="0" outline="0" subtotalTop="0" showAll="0"/>
    <pivotField axis="axisRow" compact="0" allDrilled="1" outline="0" subtotalTop="0" showAll="0" dataSourceSort="1" defaultAttributeDrillState="1">
      <items count="5">
        <item x="0"/>
        <item x="1"/>
        <item x="2"/>
        <item x="3"/>
        <item t="default"/>
      </items>
    </pivotField>
    <pivotField compact="0" allDrilled="1" outline="0" subtotalTop="0" showAll="0" dataSourceSort="1"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5" format="4"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_Data]"/>
      </x15:pivotTableUISettings>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C800FE-5841-4E40-AD58-61EC352AAC84}" name="kpi3" cacheId="759" applyNumberFormats="0" applyBorderFormats="0" applyFontFormats="0" applyPatternFormats="0" applyAlignmentFormats="0" applyWidthHeightFormats="1" dataCaption="Values" tag="605706cf-357a-4816-8471-60cd180ebace" updatedVersion="8" minRefreshableVersion="3" useAutoFormatting="1" itemPrintTitles="1" createdVersion="5" indent="0" compact="0" compactData="0" multipleFieldFilters="0">
  <location ref="D4:D5"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name="Sum of Quantity" fld="0" baseField="0" baseItem="0"/>
  </dataField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_Data]"/>
      </x15:pivotTableUISettings>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8A1B65-A14D-4CD6-9385-66420E0F2822}" name="kpi2" cacheId="756" applyNumberFormats="0" applyBorderFormats="0" applyFontFormats="0" applyPatternFormats="0" applyAlignmentFormats="0" applyWidthHeightFormats="1" dataCaption="Values" tag="4ff8feb4-c678-4ce7-8594-d92d2b9e741c" updatedVersion="8" minRefreshableVersion="3" useAutoFormatting="1" subtotalHiddenItems="1" itemPrintTitles="1" createdVersion="5" indent="0" compact="0" compactData="0" multipleFieldFilters="0">
  <location ref="C4:C5"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name="Count of OrderID" fld="0" subtotal="count" baseField="0" baseItem="0"/>
  </dataField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_Data]"/>
      </x15:pivotTableUISettings>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846CE3-0FC6-4964-A285-056EC7468D5A}" name="kpi1" cacheId="753" applyNumberFormats="0" applyBorderFormats="0" applyFontFormats="0" applyPatternFormats="0" applyAlignmentFormats="0" applyWidthHeightFormats="1" dataCaption="Values" tag="e9efc893-023e-4d70-a0b4-138ff88700d2" updatedVersion="8" minRefreshableVersion="3" useAutoFormatting="1" itemPrintTitles="1" createdVersion="5" indent="0" compact="0" compactData="0" multipleFieldFilters="0">
  <location ref="B4:B5"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fld="0" subtotal="count" baseField="0" baseItem="0" numFmtId="166"/>
  </dataFields>
  <formats count="1">
    <format dxfId="7">
      <pivotArea outline="0" collapsedLevelsAreSubtotals="1" fieldPosition="0"/>
    </format>
  </format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_Data]"/>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2AC1F5-600B-4E4C-A223-25A57F5B27FD}" sourceName="[Sales_Raw_Data].[Region]">
  <pivotTables>
    <pivotTable tabId="1" name="PivotTable4"/>
    <pivotTable tabId="1" name="PivotTable10"/>
    <pivotTable tabId="1" name="PivotTable11"/>
    <pivotTable tabId="1" name="PivotTable12"/>
    <pivotTable tabId="1" name="PivotTable13"/>
    <pivotTable tabId="1" name="PivotTable5"/>
    <pivotTable tabId="1" name="PivotTable6"/>
    <pivotTable tabId="1" name="PivotTable7"/>
    <pivotTable tabId="1" name="PivotTable8"/>
    <pivotTable tabId="1" name="PivotTable9"/>
    <pivotTable tabId="1" name="kpi1"/>
    <pivotTable tabId="1" name="kpi2"/>
    <pivotTable tabId="1" name="kpi3"/>
  </pivotTables>
  <data>
    <olap pivotCacheId="1482196202">
      <levels count="2">
        <level uniqueName="[Sales_Raw_Data].[Region].[(All)]" sourceCaption="(All)" count="0"/>
        <level uniqueName="[Sales_Raw_Data].[Region].[Region]" sourceCaption="Region" count="4">
          <ranges>
            <range startItem="0">
              <i n="[Sales_Raw_Data].[Region].&amp;[East]" c="East"/>
              <i n="[Sales_Raw_Data].[Region].&amp;[North]" c="North"/>
              <i n="[Sales_Raw_Data].[Region].&amp;[South]" c="South"/>
              <i n="[Sales_Raw_Data].[Region].&amp;[West]" c="West"/>
            </range>
          </ranges>
        </level>
      </levels>
      <selections count="1">
        <selection n="[Sales_Raw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228B13D-2DCA-413E-8953-37D19CEA0ACB}" sourceName="[Sales_Raw_Data].[City]">
  <pivotTables>
    <pivotTable tabId="1" name="PivotTable4"/>
  </pivotTables>
  <data>
    <olap pivotCacheId="1482196202">
      <levels count="2">
        <level uniqueName="[Sales_Raw_Data].[City].[(All)]" sourceCaption="(All)" count="0"/>
        <level uniqueName="[Sales_Raw_Data].[City].[City]" sourceCaption="City" count="12">
          <ranges>
            <range startItem="0">
              <i n="[Sales_Raw_Data].[City].&amp;[Ahmedabad]" c="Ahmedabad"/>
              <i n="[Sales_Raw_Data].[City].&amp;[Bangalore]" c="Bangalore"/>
              <i n="[Sales_Raw_Data].[City].&amp;[Bhubaneswar]" c="Bhubaneswar"/>
              <i n="[Sales_Raw_Data].[City].&amp;[Chennai]" c="Chennai"/>
              <i n="[Sales_Raw_Data].[City].&amp;[Delhi]" c="Delhi"/>
              <i n="[Sales_Raw_Data].[City].&amp;[Hyderabad]" c="Hyderabad"/>
              <i n="[Sales_Raw_Data].[City].&amp;[Jaipur]" c="Jaipur"/>
              <i n="[Sales_Raw_Data].[City].&amp;[Kolkata]" c="Kolkata"/>
              <i n="[Sales_Raw_Data].[City].&amp;[Lucknow]" c="Lucknow"/>
              <i n="[Sales_Raw_Data].[City].&amp;[Mumbai]" c="Mumbai"/>
              <i n="[Sales_Raw_Data].[City].&amp;[Patna]" c="Patna"/>
              <i n="[Sales_Raw_Data].[City].&amp;[Pune]" c="Pune"/>
            </range>
          </ranges>
        </level>
      </levels>
      <selections count="1">
        <selection n="[Sales_Raw_Data].[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5FC445-797C-4868-BA80-1DA982C1C348}" sourceName="[Sales_Raw_Data].[Category]">
  <pivotTables>
    <pivotTable tabId="1" name="PivotTable5"/>
    <pivotTable tabId="1" name="kpi1"/>
    <pivotTable tabId="1" name="kpi2"/>
    <pivotTable tabId="1" name="kpi3"/>
    <pivotTable tabId="1" name="PivotTable10"/>
    <pivotTable tabId="1" name="PivotTable11"/>
    <pivotTable tabId="1" name="PivotTable12"/>
    <pivotTable tabId="1" name="PivotTable13"/>
    <pivotTable tabId="1" name="PivotTable4"/>
    <pivotTable tabId="1" name="PivotTable6"/>
    <pivotTable tabId="1" name="PivotTable7"/>
    <pivotTable tabId="1" name="PivotTable8"/>
    <pivotTable tabId="1" name="PivotTable9"/>
  </pivotTables>
  <data>
    <olap pivotCacheId="1482196202">
      <levels count="2">
        <level uniqueName="[Sales_Raw_Data].[Category].[(All)]" sourceCaption="(All)" count="0"/>
        <level uniqueName="[Sales_Raw_Data].[Category].[Category]" sourceCaption="Category" count="4">
          <ranges>
            <range startItem="0">
              <i n="[Sales_Raw_Data].[Category].&amp;[Clothing]" c="Clothing"/>
              <i n="[Sales_Raw_Data].[Category].&amp;[Electronics]" c="Electronics"/>
              <i n="[Sales_Raw_Data].[Category].&amp;[Furniture]" c="Furniture"/>
              <i n="[Sales_Raw_Data].[Category].&amp;[Grocery]" c="Grocery"/>
            </range>
          </ranges>
        </level>
      </levels>
      <selections count="1">
        <selection n="[Sales_Raw_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26BD633-8A50-4920-891E-7661CBB0F75D}" cache="Slicer_Region" caption="Region" columnCount="2" showCaption="0" level="1" rowHeight="234950"/>
  <slicer name="City" xr10:uid="{56ABF9B8-5347-4ED5-8A11-EE39EE431D31}" cache="Slicer_City" caption="City" level="1" rowHeight="234950"/>
  <slicer name="Category" xr10:uid="{638F09AA-051D-4609-BD21-5996901D7263}" cache="Slicer_Category" caption="Category" columnCount="4"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3269AE1-C3B1-42A2-8A4C-33F5D530A457}" cache="Slicer_Region" caption="Region" columnCount="4" showCaption="0" level="1" rowHeight="234950"/>
  <slicer name="Category 1" xr10:uid="{B113FB97-AF97-4A95-B4C5-A403F0CEC0E2}" cache="Slicer_Category" caption="Category" columnCount="4" showCaption="0"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292CC-A359-463B-8FDB-57DFD1ED6CBB}">
  <dimension ref="B3:O71"/>
  <sheetViews>
    <sheetView topLeftCell="A16" workbookViewId="0">
      <selection activeCell="E10" sqref="E10:F10"/>
      <pivotSelection pane="bottomRight" showHeader="1" extendable="1" start="1" max="5" activeRow="9" activeCol="4" click="1" r:id="rId9">
        <pivotArea dataOnly="0" outline="0" fieldPosition="0">
          <references count="1">
            <reference field="1" count="1">
              <x v="1"/>
            </reference>
          </references>
        </pivotArea>
      </pivotSelection>
    </sheetView>
  </sheetViews>
  <sheetFormatPr defaultRowHeight="14.4" x14ac:dyDescent="0.3"/>
  <cols>
    <col min="2" max="2" width="10.44140625" bestFit="1" customWidth="1"/>
    <col min="3" max="3" width="15.44140625" bestFit="1" customWidth="1"/>
    <col min="4" max="4" width="14.88671875" bestFit="1" customWidth="1"/>
    <col min="5" max="5" width="10.77734375" bestFit="1" customWidth="1"/>
    <col min="6" max="6" width="12.6640625" bestFit="1" customWidth="1"/>
    <col min="7" max="8" width="10.77734375" bestFit="1" customWidth="1"/>
    <col min="9" max="9" width="12.6640625" bestFit="1" customWidth="1"/>
    <col min="10" max="10" width="9" bestFit="1" customWidth="1"/>
    <col min="11" max="11" width="15.88671875" bestFit="1" customWidth="1"/>
    <col min="12" max="12" width="15.44140625" bestFit="1" customWidth="1"/>
    <col min="13" max="13" width="9" bestFit="1" customWidth="1"/>
    <col min="14" max="14" width="10.77734375" bestFit="1" customWidth="1"/>
    <col min="15" max="361" width="11.88671875" bestFit="1" customWidth="1"/>
    <col min="362" max="362" width="12.6640625" bestFit="1" customWidth="1"/>
    <col min="363" max="372" width="10.33203125" bestFit="1" customWidth="1"/>
    <col min="373" max="373" width="11.6640625" bestFit="1" customWidth="1"/>
    <col min="374" max="374" width="12.6640625" bestFit="1" customWidth="1"/>
  </cols>
  <sheetData>
    <row r="3" spans="2:6" ht="18" x14ac:dyDescent="0.35">
      <c r="B3" s="5" t="s">
        <v>0</v>
      </c>
      <c r="C3" s="5"/>
      <c r="D3" s="5"/>
    </row>
    <row r="4" spans="2:6" x14ac:dyDescent="0.3">
      <c r="B4" t="s">
        <v>1</v>
      </c>
      <c r="C4" t="s">
        <v>2</v>
      </c>
      <c r="D4" t="s">
        <v>3</v>
      </c>
    </row>
    <row r="5" spans="2:6" x14ac:dyDescent="0.3">
      <c r="B5" s="6">
        <v>247729436.7994996</v>
      </c>
      <c r="C5" s="4">
        <v>1215</v>
      </c>
      <c r="D5" s="4">
        <v>9760</v>
      </c>
    </row>
    <row r="6" spans="2:6" x14ac:dyDescent="0.3">
      <c r="B6">
        <f>GETPIVOTDATA("[Measures].[Total_Sales]",$B$4)</f>
        <v>247729436.7994996</v>
      </c>
      <c r="C6">
        <f>GETPIVOTDATA("[Measures].[Count of OrderID]",$C$4)</f>
        <v>1215</v>
      </c>
      <c r="D6">
        <f>GETPIVOTDATA("[Measures].[Sum of Quantity]",$D$4)</f>
        <v>9760</v>
      </c>
    </row>
    <row r="8" spans="2:6" x14ac:dyDescent="0.3">
      <c r="B8" s="3" t="s">
        <v>4</v>
      </c>
      <c r="C8" t="s">
        <v>1</v>
      </c>
      <c r="E8" s="3" t="s">
        <v>10</v>
      </c>
      <c r="F8" t="s">
        <v>1</v>
      </c>
    </row>
    <row r="9" spans="2:6" x14ac:dyDescent="0.3">
      <c r="B9" t="s">
        <v>5</v>
      </c>
      <c r="C9" s="1">
        <v>61328154.275500037</v>
      </c>
      <c r="E9" t="s">
        <v>11</v>
      </c>
      <c r="F9" s="1">
        <v>54760651.210000008</v>
      </c>
    </row>
    <row r="10" spans="2:6" x14ac:dyDescent="0.3">
      <c r="B10" t="s">
        <v>6</v>
      </c>
      <c r="C10" s="1">
        <v>58177761.432999991</v>
      </c>
      <c r="E10" t="s">
        <v>12</v>
      </c>
      <c r="F10" s="1">
        <v>67489534.970499963</v>
      </c>
    </row>
    <row r="11" spans="2:6" x14ac:dyDescent="0.3">
      <c r="B11" t="s">
        <v>7</v>
      </c>
      <c r="C11" s="1">
        <v>60527674.591999978</v>
      </c>
      <c r="E11" t="s">
        <v>13</v>
      </c>
      <c r="F11" s="1">
        <v>70606722.244000033</v>
      </c>
    </row>
    <row r="12" spans="2:6" x14ac:dyDescent="0.3">
      <c r="B12" t="s">
        <v>8</v>
      </c>
      <c r="C12" s="1">
        <v>67695846.499000013</v>
      </c>
      <c r="E12" t="s">
        <v>14</v>
      </c>
      <c r="F12" s="1">
        <v>54872528.375000037</v>
      </c>
    </row>
    <row r="13" spans="2:6" x14ac:dyDescent="0.3">
      <c r="B13" t="s">
        <v>9</v>
      </c>
      <c r="C13" s="1">
        <v>247729436.7994996</v>
      </c>
      <c r="E13" t="s">
        <v>9</v>
      </c>
      <c r="F13" s="1">
        <v>247729436.7994996</v>
      </c>
    </row>
    <row r="17" spans="2:15" x14ac:dyDescent="0.3">
      <c r="B17" s="3" t="s">
        <v>15</v>
      </c>
      <c r="C17" t="s">
        <v>1</v>
      </c>
      <c r="E17" s="3" t="s">
        <v>28</v>
      </c>
      <c r="F17" t="s">
        <v>1</v>
      </c>
      <c r="H17" s="3" t="s">
        <v>45</v>
      </c>
      <c r="I17" t="s">
        <v>1</v>
      </c>
      <c r="K17" s="3" t="s">
        <v>54</v>
      </c>
      <c r="L17" t="s">
        <v>2</v>
      </c>
      <c r="N17" s="2" t="s">
        <v>54</v>
      </c>
      <c r="O17" t="s">
        <v>72</v>
      </c>
    </row>
    <row r="18" spans="2:15" x14ac:dyDescent="0.3">
      <c r="B18" t="s">
        <v>23</v>
      </c>
      <c r="C18" s="1">
        <v>14696322.424999997</v>
      </c>
      <c r="E18" t="s">
        <v>29</v>
      </c>
      <c r="F18" s="1">
        <v>16265631.309499996</v>
      </c>
      <c r="H18" t="s">
        <v>46</v>
      </c>
      <c r="I18" s="1">
        <v>29949205.872999996</v>
      </c>
      <c r="K18" t="s">
        <v>55</v>
      </c>
      <c r="L18" s="4">
        <v>285</v>
      </c>
      <c r="N18" t="s">
        <v>55</v>
      </c>
      <c r="O18">
        <f>GETPIVOTDATA("[Measures].[Count of OrderID]",$K$17,"[Sales_Raw_Data].[PaymentMode]","[Sales_Raw_Data].[PaymentMode].&amp;["&amp;K18&amp;"]")</f>
        <v>285</v>
      </c>
    </row>
    <row r="19" spans="2:15" x14ac:dyDescent="0.3">
      <c r="B19" t="s">
        <v>25</v>
      </c>
      <c r="C19" s="1">
        <v>15985935.960000005</v>
      </c>
      <c r="E19" t="s">
        <v>30</v>
      </c>
      <c r="F19" s="1">
        <v>15156803.464999998</v>
      </c>
      <c r="H19" t="s">
        <v>47</v>
      </c>
      <c r="I19" s="1">
        <v>31724365.608000003</v>
      </c>
      <c r="K19" t="s">
        <v>56</v>
      </c>
      <c r="L19" s="4">
        <v>293</v>
      </c>
      <c r="N19" t="s">
        <v>56</v>
      </c>
      <c r="O19">
        <f t="shared" ref="O19:O21" si="0">GETPIVOTDATA("[Measures].[Count of OrderID]",$K$17,"[Sales_Raw_Data].[PaymentMode]","[Sales_Raw_Data].[PaymentMode].&amp;["&amp;K19&amp;"]")</f>
        <v>293</v>
      </c>
    </row>
    <row r="20" spans="2:15" x14ac:dyDescent="0.3">
      <c r="B20" t="s">
        <v>16</v>
      </c>
      <c r="C20" s="1">
        <v>17733337.740000002</v>
      </c>
      <c r="E20" t="s">
        <v>31</v>
      </c>
      <c r="F20" s="1">
        <v>12973429.033499999</v>
      </c>
      <c r="H20" t="s">
        <v>48</v>
      </c>
      <c r="I20" s="1">
        <v>31130874.293000009</v>
      </c>
      <c r="K20" t="s">
        <v>57</v>
      </c>
      <c r="L20" s="4">
        <v>315</v>
      </c>
      <c r="N20" t="s">
        <v>57</v>
      </c>
      <c r="O20">
        <f t="shared" si="0"/>
        <v>315</v>
      </c>
    </row>
    <row r="21" spans="2:15" x14ac:dyDescent="0.3">
      <c r="B21" t="s">
        <v>26</v>
      </c>
      <c r="C21" s="1">
        <v>18782058.339000005</v>
      </c>
      <c r="E21" t="s">
        <v>32</v>
      </c>
      <c r="F21" s="1">
        <v>12882863.100000007</v>
      </c>
      <c r="H21" t="s">
        <v>49</v>
      </c>
      <c r="I21" s="1">
        <v>30136010.335999995</v>
      </c>
      <c r="K21" t="s">
        <v>58</v>
      </c>
      <c r="L21" s="4">
        <v>322</v>
      </c>
      <c r="N21" t="s">
        <v>58</v>
      </c>
      <c r="O21">
        <f t="shared" si="0"/>
        <v>322</v>
      </c>
    </row>
    <row r="22" spans="2:15" x14ac:dyDescent="0.3">
      <c r="B22" t="s">
        <v>20</v>
      </c>
      <c r="C22" s="1">
        <v>20536008.452499997</v>
      </c>
      <c r="E22" t="s">
        <v>33</v>
      </c>
      <c r="F22" s="1">
        <v>15747850.673</v>
      </c>
      <c r="H22" t="s">
        <v>50</v>
      </c>
      <c r="I22" s="1">
        <v>32364815.507500011</v>
      </c>
      <c r="K22" t="s">
        <v>9</v>
      </c>
      <c r="L22" s="4">
        <v>1215</v>
      </c>
    </row>
    <row r="23" spans="2:15" x14ac:dyDescent="0.3">
      <c r="B23" t="s">
        <v>17</v>
      </c>
      <c r="C23" s="1">
        <v>21025380.540000003</v>
      </c>
      <c r="E23" t="s">
        <v>34</v>
      </c>
      <c r="F23" s="1">
        <v>14486473.062499994</v>
      </c>
      <c r="H23" t="s">
        <v>51</v>
      </c>
      <c r="I23" s="1">
        <v>29930644.559000004</v>
      </c>
    </row>
    <row r="24" spans="2:15" x14ac:dyDescent="0.3">
      <c r="B24" t="s">
        <v>27</v>
      </c>
      <c r="C24" s="1">
        <v>21153254.674999993</v>
      </c>
      <c r="E24" t="s">
        <v>35</v>
      </c>
      <c r="F24" s="1">
        <v>15111391.597999994</v>
      </c>
      <c r="H24" t="s">
        <v>52</v>
      </c>
      <c r="I24" s="1">
        <v>27670646.458500002</v>
      </c>
    </row>
    <row r="25" spans="2:15" x14ac:dyDescent="0.3">
      <c r="B25" t="s">
        <v>18</v>
      </c>
      <c r="C25" s="1">
        <v>21282270.446000006</v>
      </c>
      <c r="E25" t="s">
        <v>36</v>
      </c>
      <c r="F25" s="1">
        <v>14735301.670000006</v>
      </c>
      <c r="H25" t="s">
        <v>53</v>
      </c>
      <c r="I25" s="1">
        <v>34822874.164500006</v>
      </c>
    </row>
    <row r="26" spans="2:15" x14ac:dyDescent="0.3">
      <c r="B26" t="s">
        <v>21</v>
      </c>
      <c r="C26" s="1">
        <v>22581943.964000016</v>
      </c>
      <c r="E26" t="s">
        <v>37</v>
      </c>
      <c r="F26" s="1">
        <v>18206313.039999992</v>
      </c>
      <c r="H26" t="s">
        <v>9</v>
      </c>
      <c r="I26" s="1">
        <v>247729436.7994996</v>
      </c>
    </row>
    <row r="27" spans="2:15" x14ac:dyDescent="0.3">
      <c r="B27" t="s">
        <v>24</v>
      </c>
      <c r="C27" s="1">
        <v>23301266.839999996</v>
      </c>
      <c r="E27" t="s">
        <v>38</v>
      </c>
      <c r="F27" s="1">
        <v>17004708.223999999</v>
      </c>
    </row>
    <row r="28" spans="2:15" x14ac:dyDescent="0.3">
      <c r="B28" t="s">
        <v>22</v>
      </c>
      <c r="C28" s="1">
        <v>23652259.677999992</v>
      </c>
      <c r="E28" t="s">
        <v>39</v>
      </c>
      <c r="F28" s="1">
        <v>15199784.17</v>
      </c>
    </row>
    <row r="29" spans="2:15" x14ac:dyDescent="0.3">
      <c r="B29" t="s">
        <v>19</v>
      </c>
      <c r="C29" s="1">
        <v>26999397.739999991</v>
      </c>
      <c r="E29" t="s">
        <v>40</v>
      </c>
      <c r="F29" s="1">
        <v>15448205.065000001</v>
      </c>
    </row>
    <row r="30" spans="2:15" x14ac:dyDescent="0.3">
      <c r="B30" t="s">
        <v>9</v>
      </c>
      <c r="C30" s="1">
        <v>247729436.7994996</v>
      </c>
      <c r="E30" t="s">
        <v>41</v>
      </c>
      <c r="F30" s="1">
        <v>16032753.694</v>
      </c>
    </row>
    <row r="31" spans="2:15" x14ac:dyDescent="0.3">
      <c r="E31" t="s">
        <v>42</v>
      </c>
      <c r="F31" s="1">
        <v>17328021.77</v>
      </c>
    </row>
    <row r="32" spans="2:15" x14ac:dyDescent="0.3">
      <c r="E32" t="s">
        <v>43</v>
      </c>
      <c r="F32" s="1">
        <v>15255860.554999996</v>
      </c>
    </row>
    <row r="33" spans="2:10" x14ac:dyDescent="0.3">
      <c r="E33" t="s">
        <v>44</v>
      </c>
      <c r="F33" s="1">
        <v>15894046.370000001</v>
      </c>
    </row>
    <row r="34" spans="2:10" x14ac:dyDescent="0.3">
      <c r="E34" t="s">
        <v>9</v>
      </c>
      <c r="F34" s="1">
        <v>247729436.7994996</v>
      </c>
    </row>
    <row r="38" spans="2:10" x14ac:dyDescent="0.3">
      <c r="B38" s="3" t="s">
        <v>71</v>
      </c>
      <c r="C38" t="s">
        <v>1</v>
      </c>
      <c r="E38" s="3" t="s">
        <v>1</v>
      </c>
      <c r="F38" s="3" t="s">
        <v>10</v>
      </c>
    </row>
    <row r="39" spans="2:10" x14ac:dyDescent="0.3">
      <c r="B39" t="s">
        <v>59</v>
      </c>
      <c r="C39" s="1">
        <v>20431706.246499997</v>
      </c>
      <c r="E39" s="3" t="s">
        <v>71</v>
      </c>
      <c r="F39" t="s">
        <v>11</v>
      </c>
      <c r="G39" t="s">
        <v>12</v>
      </c>
      <c r="H39" t="s">
        <v>13</v>
      </c>
      <c r="I39" t="s">
        <v>14</v>
      </c>
      <c r="J39" t="s">
        <v>9</v>
      </c>
    </row>
    <row r="40" spans="2:10" x14ac:dyDescent="0.3">
      <c r="B40" t="s">
        <v>60</v>
      </c>
      <c r="C40" s="1">
        <v>19688604.207500007</v>
      </c>
      <c r="E40" t="s">
        <v>59</v>
      </c>
      <c r="F40" s="1">
        <v>6720958.8845000016</v>
      </c>
      <c r="G40" s="1">
        <v>5926184.0719999997</v>
      </c>
      <c r="H40" s="1">
        <v>3837343.07</v>
      </c>
      <c r="I40" s="1">
        <v>3947220.2199999997</v>
      </c>
      <c r="J40" s="1">
        <v>20431706.246499997</v>
      </c>
    </row>
    <row r="41" spans="2:10" x14ac:dyDescent="0.3">
      <c r="B41" t="s">
        <v>61</v>
      </c>
      <c r="C41" s="1">
        <v>16936887.270000007</v>
      </c>
      <c r="E41" t="s">
        <v>60</v>
      </c>
      <c r="F41" s="1">
        <v>2781147.8400000003</v>
      </c>
      <c r="G41" s="1">
        <v>7771390.4424999999</v>
      </c>
      <c r="H41" s="1">
        <v>4261485.8</v>
      </c>
      <c r="I41" s="1">
        <v>4874580.1250000009</v>
      </c>
      <c r="J41" s="1">
        <v>19688604.207500007</v>
      </c>
    </row>
    <row r="42" spans="2:10" x14ac:dyDescent="0.3">
      <c r="B42" t="s">
        <v>62</v>
      </c>
      <c r="C42" s="1">
        <v>18735608.26549999</v>
      </c>
      <c r="E42" t="s">
        <v>61</v>
      </c>
      <c r="F42" s="1">
        <v>3747344.6699999985</v>
      </c>
      <c r="G42" s="1">
        <v>4946798.9400000004</v>
      </c>
      <c r="H42" s="1">
        <v>4193427.7399999988</v>
      </c>
      <c r="I42" s="1">
        <v>4049315.92</v>
      </c>
      <c r="J42" s="1">
        <v>16936887.270000007</v>
      </c>
    </row>
    <row r="43" spans="2:10" x14ac:dyDescent="0.3">
      <c r="B43" t="s">
        <v>63</v>
      </c>
      <c r="C43" s="1">
        <v>17656963.824999999</v>
      </c>
      <c r="E43" t="s">
        <v>62</v>
      </c>
      <c r="F43" s="1">
        <v>4617982.8655000003</v>
      </c>
      <c r="G43" s="1">
        <v>4858065.08</v>
      </c>
      <c r="H43" s="1">
        <v>5385769.6799999997</v>
      </c>
      <c r="I43" s="1">
        <v>3873790.64</v>
      </c>
      <c r="J43" s="1">
        <v>18735608.26549999</v>
      </c>
    </row>
    <row r="44" spans="2:10" x14ac:dyDescent="0.3">
      <c r="B44" t="s">
        <v>64</v>
      </c>
      <c r="C44" s="1">
        <v>20615676.185999997</v>
      </c>
      <c r="E44" t="s">
        <v>63</v>
      </c>
      <c r="F44" s="1">
        <v>2789601.42</v>
      </c>
      <c r="G44" s="1">
        <v>3333513.7749999994</v>
      </c>
      <c r="H44" s="1">
        <v>7158281.8200000012</v>
      </c>
      <c r="I44" s="1">
        <v>4375566.8100000005</v>
      </c>
      <c r="J44" s="1">
        <v>17656963.824999999</v>
      </c>
    </row>
    <row r="45" spans="2:10" x14ac:dyDescent="0.3">
      <c r="B45" t="s">
        <v>65</v>
      </c>
      <c r="C45" s="1">
        <v>19220578.412999999</v>
      </c>
      <c r="E45" t="s">
        <v>64</v>
      </c>
      <c r="F45" s="1">
        <v>5449698.7759999987</v>
      </c>
      <c r="G45" s="1">
        <v>5639396.2000000011</v>
      </c>
      <c r="H45" s="1">
        <v>4454232.7600000007</v>
      </c>
      <c r="I45" s="1">
        <v>5072348.4499999993</v>
      </c>
      <c r="J45" s="1">
        <v>20615676.185999997</v>
      </c>
    </row>
    <row r="46" spans="2:10" x14ac:dyDescent="0.3">
      <c r="B46" t="s">
        <v>66</v>
      </c>
      <c r="C46" s="1">
        <v>22966142.43999999</v>
      </c>
      <c r="E46" t="s">
        <v>65</v>
      </c>
      <c r="F46" s="1">
        <v>4717449.3250000002</v>
      </c>
      <c r="G46" s="1">
        <v>5403722.7079999987</v>
      </c>
      <c r="H46" s="1">
        <v>5097051.9899999993</v>
      </c>
      <c r="I46" s="1">
        <v>4002354.3899999997</v>
      </c>
      <c r="J46" s="1">
        <v>19220578.412999999</v>
      </c>
    </row>
    <row r="47" spans="2:10" x14ac:dyDescent="0.3">
      <c r="B47" t="s">
        <v>67</v>
      </c>
      <c r="C47" s="1">
        <v>18258699.360000003</v>
      </c>
      <c r="E47" t="s">
        <v>66</v>
      </c>
      <c r="F47" s="1">
        <v>2780720.06</v>
      </c>
      <c r="G47" s="1">
        <v>5558289.1300000008</v>
      </c>
      <c r="H47" s="1">
        <v>7217287.8099999987</v>
      </c>
      <c r="I47" s="1">
        <v>7409845.4399999995</v>
      </c>
      <c r="J47" s="1">
        <v>22966142.43999999</v>
      </c>
    </row>
    <row r="48" spans="2:10" x14ac:dyDescent="0.3">
      <c r="B48" t="s">
        <v>68</v>
      </c>
      <c r="C48" s="1">
        <v>24559555.02700001</v>
      </c>
      <c r="E48" t="s">
        <v>67</v>
      </c>
      <c r="F48" s="1">
        <v>3528369.4</v>
      </c>
      <c r="G48" s="1">
        <v>4700673.1099999994</v>
      </c>
      <c r="H48" s="1">
        <v>3926906.4799999986</v>
      </c>
      <c r="I48" s="1">
        <v>6102750.370000001</v>
      </c>
      <c r="J48" s="1">
        <v>18258699.360000003</v>
      </c>
    </row>
    <row r="49" spans="2:14" x14ac:dyDescent="0.3">
      <c r="B49" t="s">
        <v>69</v>
      </c>
      <c r="C49" s="1">
        <v>26672348.030000001</v>
      </c>
      <c r="E49" t="s">
        <v>68</v>
      </c>
      <c r="F49" s="1">
        <v>6841916.9629999995</v>
      </c>
      <c r="G49" s="1">
        <v>6738658.9000000004</v>
      </c>
      <c r="H49" s="1">
        <v>9174658.7939999998</v>
      </c>
      <c r="I49" s="1">
        <v>1804320.37</v>
      </c>
      <c r="J49" s="1">
        <v>24559555.02700001</v>
      </c>
    </row>
    <row r="50" spans="2:14" x14ac:dyDescent="0.3">
      <c r="B50" t="s">
        <v>70</v>
      </c>
      <c r="C50" s="1">
        <v>21986667.529000007</v>
      </c>
      <c r="E50" t="s">
        <v>69</v>
      </c>
      <c r="F50" s="1">
        <v>6552679.9699999988</v>
      </c>
      <c r="G50" s="1">
        <v>6538707.8200000012</v>
      </c>
      <c r="H50" s="1">
        <v>8262241.8300000001</v>
      </c>
      <c r="I50" s="1">
        <v>5318718.4099999983</v>
      </c>
      <c r="J50" s="1">
        <v>26672348.030000001</v>
      </c>
    </row>
    <row r="51" spans="2:14" x14ac:dyDescent="0.3">
      <c r="B51" t="s">
        <v>9</v>
      </c>
      <c r="C51" s="1">
        <v>247729436.7994996</v>
      </c>
      <c r="E51" t="s">
        <v>70</v>
      </c>
      <c r="F51" s="1">
        <v>4232781.0359999994</v>
      </c>
      <c r="G51" s="1">
        <v>6074134.7929999996</v>
      </c>
      <c r="H51" s="1">
        <v>7638034.4699999997</v>
      </c>
      <c r="I51" s="1">
        <v>4041717.2299999995</v>
      </c>
      <c r="J51" s="1">
        <v>21986667.529000007</v>
      </c>
    </row>
    <row r="52" spans="2:14" x14ac:dyDescent="0.3">
      <c r="E52" t="s">
        <v>9</v>
      </c>
      <c r="F52" s="1">
        <v>54760651.210000008</v>
      </c>
      <c r="G52" s="1">
        <v>67489534.970499963</v>
      </c>
      <c r="H52" s="1">
        <v>70606722.244000033</v>
      </c>
      <c r="I52" s="1">
        <v>54872528.375000037</v>
      </c>
      <c r="J52" s="1">
        <v>247729436.7994996</v>
      </c>
    </row>
    <row r="57" spans="2:14" x14ac:dyDescent="0.3">
      <c r="B57" s="3" t="s">
        <v>2</v>
      </c>
      <c r="C57" s="3" t="s">
        <v>10</v>
      </c>
      <c r="I57" s="3" t="s">
        <v>3</v>
      </c>
      <c r="J57" s="3" t="s">
        <v>10</v>
      </c>
    </row>
    <row r="58" spans="2:14" x14ac:dyDescent="0.3">
      <c r="B58" s="3" t="s">
        <v>71</v>
      </c>
      <c r="C58" t="s">
        <v>11</v>
      </c>
      <c r="D58" t="s">
        <v>12</v>
      </c>
      <c r="E58" t="s">
        <v>13</v>
      </c>
      <c r="F58" t="s">
        <v>14</v>
      </c>
      <c r="G58" t="s">
        <v>9</v>
      </c>
      <c r="I58" s="3" t="s">
        <v>71</v>
      </c>
      <c r="J58" t="s">
        <v>11</v>
      </c>
      <c r="K58" t="s">
        <v>12</v>
      </c>
      <c r="L58" t="s">
        <v>13</v>
      </c>
      <c r="M58" t="s">
        <v>14</v>
      </c>
      <c r="N58" t="s">
        <v>9</v>
      </c>
    </row>
    <row r="59" spans="2:14" x14ac:dyDescent="0.3">
      <c r="B59" t="s">
        <v>59</v>
      </c>
      <c r="C59" s="4">
        <v>28</v>
      </c>
      <c r="D59" s="4">
        <v>26</v>
      </c>
      <c r="E59" s="4">
        <v>21</v>
      </c>
      <c r="F59" s="4">
        <v>20</v>
      </c>
      <c r="G59" s="4">
        <v>95</v>
      </c>
      <c r="I59" t="s">
        <v>59</v>
      </c>
      <c r="J59" s="4">
        <v>256</v>
      </c>
      <c r="K59" s="4">
        <v>209</v>
      </c>
      <c r="L59" s="4">
        <v>155</v>
      </c>
      <c r="M59" s="4">
        <v>145</v>
      </c>
      <c r="N59" s="4">
        <v>765</v>
      </c>
    </row>
    <row r="60" spans="2:14" x14ac:dyDescent="0.3">
      <c r="B60" t="s">
        <v>60</v>
      </c>
      <c r="C60" s="4">
        <v>21</v>
      </c>
      <c r="D60" s="4">
        <v>35</v>
      </c>
      <c r="E60" s="4">
        <v>19</v>
      </c>
      <c r="F60" s="4">
        <v>18</v>
      </c>
      <c r="G60" s="4">
        <v>93</v>
      </c>
      <c r="I60" t="s">
        <v>60</v>
      </c>
      <c r="J60" s="4">
        <v>131</v>
      </c>
      <c r="K60" s="4">
        <v>309</v>
      </c>
      <c r="L60" s="4">
        <v>137</v>
      </c>
      <c r="M60" s="4">
        <v>157</v>
      </c>
      <c r="N60" s="4">
        <v>734</v>
      </c>
    </row>
    <row r="61" spans="2:14" x14ac:dyDescent="0.3">
      <c r="B61" t="s">
        <v>61</v>
      </c>
      <c r="C61" s="4">
        <v>15</v>
      </c>
      <c r="D61" s="4">
        <v>26</v>
      </c>
      <c r="E61" s="4">
        <v>22</v>
      </c>
      <c r="F61" s="4">
        <v>28</v>
      </c>
      <c r="G61" s="4">
        <v>91</v>
      </c>
      <c r="I61" t="s">
        <v>61</v>
      </c>
      <c r="J61" s="4">
        <v>121</v>
      </c>
      <c r="K61" s="4">
        <v>202</v>
      </c>
      <c r="L61" s="4">
        <v>170</v>
      </c>
      <c r="M61" s="4">
        <v>205</v>
      </c>
      <c r="N61" s="4">
        <v>698</v>
      </c>
    </row>
    <row r="62" spans="2:14" x14ac:dyDescent="0.3">
      <c r="B62" t="s">
        <v>62</v>
      </c>
      <c r="C62" s="4">
        <v>17</v>
      </c>
      <c r="D62" s="4">
        <v>29</v>
      </c>
      <c r="E62" s="4">
        <v>21</v>
      </c>
      <c r="F62" s="4">
        <v>24</v>
      </c>
      <c r="G62" s="4">
        <v>91</v>
      </c>
      <c r="I62" t="s">
        <v>62</v>
      </c>
      <c r="J62" s="4">
        <v>135</v>
      </c>
      <c r="K62" s="4">
        <v>259</v>
      </c>
      <c r="L62" s="4">
        <v>177</v>
      </c>
      <c r="M62" s="4">
        <v>179</v>
      </c>
      <c r="N62" s="4">
        <v>750</v>
      </c>
    </row>
    <row r="63" spans="2:14" x14ac:dyDescent="0.3">
      <c r="B63" t="s">
        <v>63</v>
      </c>
      <c r="C63" s="4">
        <v>19</v>
      </c>
      <c r="D63" s="4">
        <v>19</v>
      </c>
      <c r="E63" s="4">
        <v>32</v>
      </c>
      <c r="F63" s="4">
        <v>19</v>
      </c>
      <c r="G63" s="4">
        <v>89</v>
      </c>
      <c r="I63" t="s">
        <v>63</v>
      </c>
      <c r="J63" s="4">
        <v>125</v>
      </c>
      <c r="K63" s="4">
        <v>143</v>
      </c>
      <c r="L63" s="4">
        <v>247</v>
      </c>
      <c r="M63" s="4">
        <v>163</v>
      </c>
      <c r="N63" s="4">
        <v>678</v>
      </c>
    </row>
    <row r="64" spans="2:14" x14ac:dyDescent="0.3">
      <c r="B64" t="s">
        <v>64</v>
      </c>
      <c r="C64" s="4">
        <v>26</v>
      </c>
      <c r="D64" s="4">
        <v>25</v>
      </c>
      <c r="E64" s="4">
        <v>19</v>
      </c>
      <c r="F64" s="4">
        <v>24</v>
      </c>
      <c r="G64" s="4">
        <v>94</v>
      </c>
      <c r="I64" t="s">
        <v>64</v>
      </c>
      <c r="J64" s="4">
        <v>193</v>
      </c>
      <c r="K64" s="4">
        <v>188</v>
      </c>
      <c r="L64" s="4">
        <v>159</v>
      </c>
      <c r="M64" s="4">
        <v>218</v>
      </c>
      <c r="N64" s="4">
        <v>758</v>
      </c>
    </row>
    <row r="65" spans="2:14" x14ac:dyDescent="0.3">
      <c r="B65" t="s">
        <v>65</v>
      </c>
      <c r="C65" s="4">
        <v>25</v>
      </c>
      <c r="D65" s="4">
        <v>31</v>
      </c>
      <c r="E65" s="4">
        <v>24</v>
      </c>
      <c r="F65" s="4">
        <v>25</v>
      </c>
      <c r="G65" s="4">
        <v>105</v>
      </c>
      <c r="I65" t="s">
        <v>65</v>
      </c>
      <c r="J65" s="4">
        <v>189</v>
      </c>
      <c r="K65" s="4">
        <v>244</v>
      </c>
      <c r="L65" s="4">
        <v>192</v>
      </c>
      <c r="M65" s="4">
        <v>209</v>
      </c>
      <c r="N65" s="4">
        <v>834</v>
      </c>
    </row>
    <row r="66" spans="2:14" x14ac:dyDescent="0.3">
      <c r="B66" t="s">
        <v>66</v>
      </c>
      <c r="C66" s="4">
        <v>16</v>
      </c>
      <c r="D66" s="4">
        <v>31</v>
      </c>
      <c r="E66" s="4">
        <v>30</v>
      </c>
      <c r="F66" s="4">
        <v>36</v>
      </c>
      <c r="G66" s="4">
        <v>113</v>
      </c>
      <c r="I66" t="s">
        <v>66</v>
      </c>
      <c r="J66" s="4">
        <v>121</v>
      </c>
      <c r="K66" s="4">
        <v>240</v>
      </c>
      <c r="L66" s="4">
        <v>275</v>
      </c>
      <c r="M66" s="4">
        <v>282</v>
      </c>
      <c r="N66" s="4">
        <v>918</v>
      </c>
    </row>
    <row r="67" spans="2:14" x14ac:dyDescent="0.3">
      <c r="B67" t="s">
        <v>67</v>
      </c>
      <c r="C67" s="4">
        <v>17</v>
      </c>
      <c r="D67" s="4">
        <v>29</v>
      </c>
      <c r="E67" s="4">
        <v>26</v>
      </c>
      <c r="F67" s="4">
        <v>25</v>
      </c>
      <c r="G67" s="4">
        <v>97</v>
      </c>
      <c r="I67" t="s">
        <v>67</v>
      </c>
      <c r="J67" s="4">
        <v>143</v>
      </c>
      <c r="K67" s="4">
        <v>241</v>
      </c>
      <c r="L67" s="4">
        <v>172</v>
      </c>
      <c r="M67" s="4">
        <v>212</v>
      </c>
      <c r="N67" s="4">
        <v>768</v>
      </c>
    </row>
    <row r="68" spans="2:14" x14ac:dyDescent="0.3">
      <c r="B68" t="s">
        <v>68</v>
      </c>
      <c r="C68" s="4">
        <v>35</v>
      </c>
      <c r="D68" s="4">
        <v>26</v>
      </c>
      <c r="E68" s="4">
        <v>32</v>
      </c>
      <c r="F68" s="4">
        <v>13</v>
      </c>
      <c r="G68" s="4">
        <v>106</v>
      </c>
      <c r="I68" t="s">
        <v>68</v>
      </c>
      <c r="J68" s="4">
        <v>273</v>
      </c>
      <c r="K68" s="4">
        <v>214</v>
      </c>
      <c r="L68" s="4">
        <v>294</v>
      </c>
      <c r="M68" s="4">
        <v>113</v>
      </c>
      <c r="N68" s="4">
        <v>894</v>
      </c>
    </row>
    <row r="69" spans="2:14" x14ac:dyDescent="0.3">
      <c r="B69" t="s">
        <v>69</v>
      </c>
      <c r="C69" s="4">
        <v>28</v>
      </c>
      <c r="D69" s="4">
        <v>29</v>
      </c>
      <c r="E69" s="4">
        <v>35</v>
      </c>
      <c r="F69" s="4">
        <v>29</v>
      </c>
      <c r="G69" s="4">
        <v>121</v>
      </c>
      <c r="I69" t="s">
        <v>69</v>
      </c>
      <c r="J69" s="4">
        <v>272</v>
      </c>
      <c r="K69" s="4">
        <v>211</v>
      </c>
      <c r="L69" s="4">
        <v>305</v>
      </c>
      <c r="M69" s="4">
        <v>235</v>
      </c>
      <c r="N69" s="4">
        <v>1023</v>
      </c>
    </row>
    <row r="70" spans="2:14" x14ac:dyDescent="0.3">
      <c r="B70" t="s">
        <v>70</v>
      </c>
      <c r="C70" s="4">
        <v>27</v>
      </c>
      <c r="D70" s="4">
        <v>31</v>
      </c>
      <c r="E70" s="4">
        <v>41</v>
      </c>
      <c r="F70" s="4">
        <v>21</v>
      </c>
      <c r="G70" s="4">
        <v>120</v>
      </c>
      <c r="I70" t="s">
        <v>70</v>
      </c>
      <c r="J70" s="4">
        <v>200</v>
      </c>
      <c r="K70" s="4">
        <v>247</v>
      </c>
      <c r="L70" s="4">
        <v>325</v>
      </c>
      <c r="M70" s="4">
        <v>168</v>
      </c>
      <c r="N70" s="4">
        <v>940</v>
      </c>
    </row>
    <row r="71" spans="2:14" x14ac:dyDescent="0.3">
      <c r="B71" t="s">
        <v>9</v>
      </c>
      <c r="C71" s="4">
        <v>274</v>
      </c>
      <c r="D71" s="4">
        <v>337</v>
      </c>
      <c r="E71" s="4">
        <v>322</v>
      </c>
      <c r="F71" s="4">
        <v>282</v>
      </c>
      <c r="G71" s="4">
        <v>1215</v>
      </c>
      <c r="I71" t="s">
        <v>9</v>
      </c>
      <c r="J71" s="4">
        <v>2159</v>
      </c>
      <c r="K71" s="4">
        <v>2707</v>
      </c>
      <c r="L71" s="4">
        <v>2608</v>
      </c>
      <c r="M71" s="4">
        <v>2286</v>
      </c>
      <c r="N71" s="4">
        <v>9760</v>
      </c>
    </row>
  </sheetData>
  <mergeCells count="1">
    <mergeCell ref="B3:D3"/>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0F82-7042-4E22-B084-D2A92182B3D9}">
  <dimension ref="A1"/>
  <sheetViews>
    <sheetView workbookViewId="0">
      <selection activeCell="K34" sqref="K34"/>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C63B4-07F8-4D94-A7A7-3BF1E009EEEF}">
  <dimension ref="A1"/>
  <sheetViews>
    <sheetView showGridLines="0" tabSelected="1" topLeftCell="B2" zoomScale="70" zoomScaleNormal="70" workbookViewId="0">
      <selection activeCell="AF23" sqref="AF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208D6E57-ABAC-454A-B253-5A98BCA3F329}">
  <ds:schemaRefs/>
</ds:datastoreItem>
</file>

<file path=customXml/itemProps2.xml><?xml version="1.0" encoding="utf-8"?>
<ds:datastoreItem xmlns:ds="http://schemas.openxmlformats.org/officeDocument/2006/customXml" ds:itemID="{F503E49A-728C-43BB-90CB-F02D2677A472}">
  <ds:schemaRefs/>
</ds:datastoreItem>
</file>

<file path=customXml/itemProps3.xml><?xml version="1.0" encoding="utf-8"?>
<ds:datastoreItem xmlns:ds="http://schemas.openxmlformats.org/officeDocument/2006/customXml" ds:itemID="{07FA6969-B8D7-4AD7-8FC2-8D313CA0C9E4}">
  <ds:schemaRefs/>
</ds:datastoreItem>
</file>

<file path=customXml/itemProps4.xml><?xml version="1.0" encoding="utf-8"?>
<ds:datastoreItem xmlns:ds="http://schemas.openxmlformats.org/officeDocument/2006/customXml" ds:itemID="{D86C8635-FB2D-43DB-916F-DCDFEEC7E5D5}">
  <ds:schemaRefs/>
</ds:datastoreItem>
</file>

<file path=customXml/itemProps5.xml><?xml version="1.0" encoding="utf-8"?>
<ds:datastoreItem xmlns:ds="http://schemas.openxmlformats.org/officeDocument/2006/customXml" ds:itemID="{FBB99B65-119C-462E-B3EA-3057117FF047}">
  <ds:schemaRefs/>
</ds:datastoreItem>
</file>

<file path=customXml/itemProps6.xml><?xml version="1.0" encoding="utf-8"?>
<ds:datastoreItem xmlns:ds="http://schemas.openxmlformats.org/officeDocument/2006/customXml" ds:itemID="{EDF0F800-B2DE-49D2-9993-5C2DCFCA0978}">
  <ds:schemaRefs/>
</ds:datastoreItem>
</file>

<file path=customXml/itemProps7.xml><?xml version="1.0" encoding="utf-8"?>
<ds:datastoreItem xmlns:ds="http://schemas.openxmlformats.org/officeDocument/2006/customXml" ds:itemID="{A23545DE-E0F4-49AB-B07A-09D16C82DDC0}">
  <ds:schemaRefs/>
</ds:datastoreItem>
</file>

<file path=customXml/itemProps8.xml><?xml version="1.0" encoding="utf-8"?>
<ds:datastoreItem xmlns:ds="http://schemas.openxmlformats.org/officeDocument/2006/customXml" ds:itemID="{0008FF23-27A7-4352-9032-364231E72297}">
  <ds:schemaRefs>
    <ds:schemaRef ds:uri="http://schemas.microsoft.com/DataMashup"/>
  </ds:schemaRefs>
</ds:datastoreItem>
</file>

<file path=customXml/itemProps9.xml><?xml version="1.0" encoding="utf-8"?>
<ds:datastoreItem xmlns:ds="http://schemas.openxmlformats.org/officeDocument/2006/customXml" ds:itemID="{286A9A59-21B5-4264-A5AB-719B42843A29}">
  <ds:schemaRefs/>
</ds:datastoreItem>
</file>

<file path=customXml/itemProps10.xml><?xml version="1.0" encoding="utf-8"?>
<ds:datastoreItem xmlns:ds="http://schemas.openxmlformats.org/officeDocument/2006/customXml" ds:itemID="{11ECECB9-3776-462D-86BC-34923134C772}">
  <ds:schemaRefs/>
</ds:datastoreItem>
</file>

<file path=customXml/itemProps11.xml><?xml version="1.0" encoding="utf-8"?>
<ds:datastoreItem xmlns:ds="http://schemas.openxmlformats.org/officeDocument/2006/customXml" ds:itemID="{3BA2DB64-7ABA-4914-BB1F-22116A54A358}">
  <ds:schemaRefs/>
</ds:datastoreItem>
</file>

<file path=customXml/itemProps12.xml><?xml version="1.0" encoding="utf-8"?>
<ds:datastoreItem xmlns:ds="http://schemas.openxmlformats.org/officeDocument/2006/customXml" ds:itemID="{5F5F8B6A-5797-4922-94D7-1777D42113E2}">
  <ds:schemaRefs/>
</ds:datastoreItem>
</file>

<file path=customXml/itemProps13.xml><?xml version="1.0" encoding="utf-8"?>
<ds:datastoreItem xmlns:ds="http://schemas.openxmlformats.org/officeDocument/2006/customXml" ds:itemID="{88229190-20B6-4E11-AFBD-F7F2B03DD11B}">
  <ds:schemaRefs/>
</ds:datastoreItem>
</file>

<file path=customXml/itemProps14.xml><?xml version="1.0" encoding="utf-8"?>
<ds:datastoreItem xmlns:ds="http://schemas.openxmlformats.org/officeDocument/2006/customXml" ds:itemID="{840CA949-4D67-4634-A900-F502CB84DE5D}">
  <ds:schemaRefs/>
</ds:datastoreItem>
</file>

<file path=customXml/itemProps15.xml><?xml version="1.0" encoding="utf-8"?>
<ds:datastoreItem xmlns:ds="http://schemas.openxmlformats.org/officeDocument/2006/customXml" ds:itemID="{54B4CA16-A892-4FA1-9F08-06ED061E10E3}">
  <ds:schemaRefs/>
</ds:datastoreItem>
</file>

<file path=customXml/itemProps16.xml><?xml version="1.0" encoding="utf-8"?>
<ds:datastoreItem xmlns:ds="http://schemas.openxmlformats.org/officeDocument/2006/customXml" ds:itemID="{76E14031-B926-4391-92D6-6EAB86511AC9}">
  <ds:schemaRefs/>
</ds:datastoreItem>
</file>

<file path=customXml/itemProps17.xml><?xml version="1.0" encoding="utf-8"?>
<ds:datastoreItem xmlns:ds="http://schemas.openxmlformats.org/officeDocument/2006/customXml" ds:itemID="{5F8B6BE0-309B-4EC5-A17A-476AB54B8F07}">
  <ds:schemaRefs/>
</ds:datastoreItem>
</file>

<file path=customXml/itemProps18.xml><?xml version="1.0" encoding="utf-8"?>
<ds:datastoreItem xmlns:ds="http://schemas.openxmlformats.org/officeDocument/2006/customXml" ds:itemID="{9434172C-7EE9-4365-A626-2ADFDC5EA3BC}">
  <ds:schemaRefs/>
</ds:datastoreItem>
</file>

<file path=customXml/itemProps19.xml><?xml version="1.0" encoding="utf-8"?>
<ds:datastoreItem xmlns:ds="http://schemas.openxmlformats.org/officeDocument/2006/customXml" ds:itemID="{5F9BF1F0-4710-451D-B820-6859BBE02338}">
  <ds:schemaRefs/>
</ds:datastoreItem>
</file>

<file path=customXml/itemProps20.xml><?xml version="1.0" encoding="utf-8"?>
<ds:datastoreItem xmlns:ds="http://schemas.openxmlformats.org/officeDocument/2006/customXml" ds:itemID="{37A59DF1-52CE-4C06-AA9F-14FCA2BB7927}">
  <ds:schemaRefs/>
</ds:datastoreItem>
</file>

<file path=customXml/itemProps21.xml><?xml version="1.0" encoding="utf-8"?>
<ds:datastoreItem xmlns:ds="http://schemas.openxmlformats.org/officeDocument/2006/customXml" ds:itemID="{49EC7CC0-5D3F-4D99-A6B6-AF2ED49DF3BE}">
  <ds:schemaRefs/>
</ds:datastoreItem>
</file>

<file path=customXml/itemProps22.xml><?xml version="1.0" encoding="utf-8"?>
<ds:datastoreItem xmlns:ds="http://schemas.openxmlformats.org/officeDocument/2006/customXml" ds:itemID="{F37C21F7-F828-4417-B5E4-5E712B740C48}">
  <ds:schemaRefs/>
</ds:datastoreItem>
</file>

<file path=customXml/itemProps23.xml><?xml version="1.0" encoding="utf-8"?>
<ds:datastoreItem xmlns:ds="http://schemas.openxmlformats.org/officeDocument/2006/customXml" ds:itemID="{6B23DB8F-9861-41C3-9A97-8A4CBCB81B4B}">
  <ds:schemaRefs/>
</ds:datastoreItem>
</file>

<file path=customXml/itemProps24.xml><?xml version="1.0" encoding="utf-8"?>
<ds:datastoreItem xmlns:ds="http://schemas.openxmlformats.org/officeDocument/2006/customXml" ds:itemID="{8C416770-218C-4D4C-8698-452AD862C2FB}">
  <ds:schemaRefs/>
</ds:datastoreItem>
</file>

<file path=customXml/itemProps25.xml><?xml version="1.0" encoding="utf-8"?>
<ds:datastoreItem xmlns:ds="http://schemas.openxmlformats.org/officeDocument/2006/customXml" ds:itemID="{E739D96A-66C7-49A7-B759-223FF93AFCFD}">
  <ds:schemaRefs/>
</ds:datastoreItem>
</file>

<file path=customXml/itemProps26.xml><?xml version="1.0" encoding="utf-8"?>
<ds:datastoreItem xmlns:ds="http://schemas.openxmlformats.org/officeDocument/2006/customXml" ds:itemID="{D6CD738C-9598-471F-984C-D4A1F98E9FD6}">
  <ds:schemaRefs/>
</ds:datastoreItem>
</file>

<file path=customXml/itemProps27.xml><?xml version="1.0" encoding="utf-8"?>
<ds:datastoreItem xmlns:ds="http://schemas.openxmlformats.org/officeDocument/2006/customXml" ds:itemID="{9396C2B0-C052-4060-B60D-D12A59981BD8}">
  <ds:schemaRefs/>
</ds:datastoreItem>
</file>

<file path=customXml/itemProps28.xml><?xml version="1.0" encoding="utf-8"?>
<ds:datastoreItem xmlns:ds="http://schemas.openxmlformats.org/officeDocument/2006/customXml" ds:itemID="{9B7180A7-568A-4321-9A51-271C7880FBCB}">
  <ds:schemaRefs/>
</ds:datastoreItem>
</file>

<file path=customXml/itemProps29.xml><?xml version="1.0" encoding="utf-8"?>
<ds:datastoreItem xmlns:ds="http://schemas.openxmlformats.org/officeDocument/2006/customXml" ds:itemID="{9E8CB437-206A-4813-924B-A9FC6C51F8DB}">
  <ds:schemaRefs/>
</ds:datastoreItem>
</file>

<file path=customXml/itemProps30.xml><?xml version="1.0" encoding="utf-8"?>
<ds:datastoreItem xmlns:ds="http://schemas.openxmlformats.org/officeDocument/2006/customXml" ds:itemID="{2EF29AA8-6EBD-4388-8BA1-29D897E780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Calculations</vt:lpstr>
      <vt:lpstr>Charts</vt:lpstr>
      <vt:lpstr>Dashboard</vt:lpstr>
      <vt:lpstr>order</vt:lpstr>
      <vt:lpstr>quantity</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Shakeer Shaik</dc:creator>
  <cp:lastModifiedBy>Shakeer Shaik</cp:lastModifiedBy>
  <dcterms:created xsi:type="dcterms:W3CDTF">2026-07-23T03:20:04Z</dcterms:created>
  <dcterms:modified xsi:type="dcterms:W3CDTF">2026-07-23T08:14:51Z</dcterms:modified>
</cp:coreProperties>
</file>